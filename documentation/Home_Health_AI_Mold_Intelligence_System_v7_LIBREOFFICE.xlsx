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19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2.xml.rels" ContentType="application/vnd.openxmlformats-package.relationship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22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14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13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11.xml" ContentType="application/vnd.openxmlformats-officedocument.spreadsheetml.table+xml"/>
  <Override PartName="/xl/tables/table9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10.xml" ContentType="application/vnd.openxmlformats-officedocument.spreadsheetml.table+xml"/>
  <Override PartName="/xl/tables/table8.xml" ContentType="application/vnd.openxmlformats-officedocument.spreadsheetml.table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vmlDrawing5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ld_species_dataset" sheetId="1" state="visible" r:id="rId3"/>
    <sheet name="Summary" sheetId="2" state="visible" r:id="rId4"/>
    <sheet name="AI Early Detection Signs" sheetId="3" state="visible" r:id="rId5"/>
    <sheet name="Cleaning Agents" sheetId="4" state="visible" r:id="rId6"/>
    <sheet name="Data Dictionary" sheetId="5" state="visible" r:id="rId7"/>
    <sheet name="Core Mold Logic" sheetId="6" state="visible" r:id="rId8"/>
    <sheet name="Interpretation Examples" sheetId="7" state="visible" r:id="rId9"/>
    <sheet name="AI Decision Tree" sheetId="8" state="visible" r:id="rId10"/>
    <sheet name="Risk Scoring Model" sheetId="9" state="visible" r:id="rId11"/>
    <sheet name="Inspection Language" sheetId="10" state="visible" r:id="rId12"/>
    <sheet name="Moisture Source Classification" sheetId="11" state="visible" r:id="rId13"/>
    <sheet name="Room Inspection Logic" sheetId="12" state="visible" r:id="rId14"/>
    <sheet name="Remediation Framework" sheetId="13" state="visible" r:id="rId15"/>
    <sheet name="Image Label Taxonomy" sheetId="14" state="visible" r:id="rId16"/>
    <sheet name="Training Annotation Template" sheetId="15" state="visible" r:id="rId17"/>
    <sheet name="Lab Interpretation Rules" sheetId="16" state="visible" r:id="rId18"/>
    <sheet name="Lab Sample Examples" sheetId="17" state="visible" r:id="rId19"/>
    <sheet name="Control Center" sheetId="18" state="visible" r:id="rId20"/>
    <sheet name="Real Lab Data Training" sheetId="19" state="visible" r:id="rId21"/>
    <sheet name="IAQ Scoring Engine" sheetId="20" state="visible" r:id="rId22"/>
    <sheet name="Field Input Template" sheetId="21" state="visible" r:id="rId23"/>
    <sheet name="API Mapping" sheetId="22" state="visible" r:id="rId24"/>
  </sheets>
  <definedNames>
    <definedName function="false" hidden="true" localSheetId="21" name="_xlnm._FilterDatabase" vbProcedure="false">'API Mapping'!$A$4:$J$14</definedName>
    <definedName function="false" hidden="true" localSheetId="17" name="_xlnm._FilterDatabase" vbProcedure="false">'Control Center'!$A$4:$L$9</definedName>
    <definedName function="false" hidden="true" localSheetId="20" name="_xlnm._FilterDatabase" vbProcedure="false">'Field Input Template'!$A$4:$T$6</definedName>
    <definedName function="false" hidden="true" localSheetId="19" name="_xlnm._FilterDatabase" vbProcedure="false">'IAQ Scoring Engine'!$A$4:$N$9</definedName>
    <definedName function="false" hidden="true" localSheetId="18" name="_xlnm._FilterDatabase" vbProcedure="false">'Real Lab Data Training'!$A$4:$T$24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A3" authorId="0">
      <text>
        <r>
          <rPr>
            <sz val="10"/>
            <rFont val="Arial"/>
            <family val="2"/>
          </rPr>
          <t xml:space="preserve">Counts based on the main Mold Species Database sheet in this workbook.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23</xdr:rowOff>
              </xdr:to>
            </anchor>
          </commentPr>
        </mc:Choice>
        <mc:Fallback/>
      </mc:AlternateContent>
    </comment>
    <comment ref="A4" authorId="0">
      <text>
        <r>
          <rPr>
            <sz val="10"/>
            <rFont val="Arial"/>
            <family val="2"/>
          </rPr>
          <t xml:space="preserve">Genus count uses unique genus labels derived from species_name.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-29</xdr:colOff>
                <xdr:row>3</xdr:row>
                <xdr:rowOff>3</xdr:rowOff>
              </xdr:to>
            </anchor>
          </commentPr>
        </mc:Choice>
        <mc:Fallback/>
      </mc:AlternateContent>
    </comment>
  </commentList>
</comments>
</file>

<file path=xl/comments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D5" authorId="0">
      <text>
        <r>
          <rPr>
            <sz val="10"/>
            <rFont val="Arial"/>
            <family val="2"/>
          </rPr>
          <t xml:space="preserve">User-editable input. Score 0=None, 1=Very low, 2=Low, 3=Moderate, 4=High, 5=Very high.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3</xdr:row>
                <xdr:rowOff>3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User-editable input. Score 0=None, 1=Very low, 2=Low, 3=Moderate, 4=High, 5=Very high.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60</xdr:colOff>
                <xdr:row>3</xdr:row>
                <xdr:rowOff>21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User-editable input. Score 0=None, 1=Very low, 2=Low, 3=Moderate, 4=High, 5=Very high.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9</xdr:rowOff>
              </xdr:from>
              <xdr:to>
                <xdr:col>1</xdr:col>
                <xdr:colOff>60</xdr:colOff>
                <xdr:row>4</xdr:row>
                <xdr:rowOff>10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User-editable input. Score 0=None, 1=Very low, 2=Low, 3=Moderate, 4=High, 5=Very high.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26</xdr:rowOff>
              </xdr:from>
              <xdr:to>
                <xdr:col>1</xdr:col>
                <xdr:colOff>60</xdr:colOff>
                <xdr:row>4</xdr:row>
                <xdr:rowOff>27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User-editable input. Score 0=None, 1=Very low, 2=Low, 3=Moderate, 4=High, 5=Very high.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15</xdr:rowOff>
              </xdr:from>
              <xdr:to>
                <xdr:col>1</xdr:col>
                <xdr:colOff>60</xdr:colOff>
                <xdr:row>5</xdr:row>
                <xdr:rowOff>7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User-editable input. Score 0=None, 1=Very low, 2=Low, 3=Moderate, 4=High, 5=Very high.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</xdr:rowOff>
              </xdr:from>
              <xdr:to>
                <xdr:col>1</xdr:col>
                <xdr:colOff>60</xdr:colOff>
                <xdr:row>5</xdr:row>
                <xdr:rowOff>25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User-editable input. Score 0=None, 1=Very low, 2=Low, 3=Moderate, 4=High, 5=Very high.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</xdr:rowOff>
              </xdr:from>
              <xdr:to>
                <xdr:col>1</xdr:col>
                <xdr:colOff>60</xdr:colOff>
                <xdr:row>6</xdr:row>
                <xdr:rowOff>5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User-editable input. Score 0=None, 1=Very low, 2=Low, 3=Moderate, 4=High, 5=Very high.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20</xdr:rowOff>
              </xdr:from>
              <xdr:to>
                <xdr:col>1</xdr:col>
                <xdr:colOff>60</xdr:colOff>
                <xdr:row>6</xdr:row>
                <xdr:rowOff>23</xdr:rowOff>
              </xdr:to>
            </anchor>
          </commentPr>
        </mc:Choice>
        <mc:Fallback/>
      </mc:AlternateContent>
    </comment>
  </commentList>
</comments>
</file>

<file path=xl/comments1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F5" authorId="0">
      <text>
        <r>
          <rPr>
            <sz val="10"/>
            <rFont val="Arial"/>
            <family val="2"/>
          </rPr>
          <t xml:space="preserve">Source: /mnt/data/Lab Information.pdf and /mnt/data/21056763_Jaunich_20211020173423.pdf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1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J6" authorId="0">
      <text>
        <r>
          <rPr>
            <sz val="10"/>
            <rFont val="Arial"/>
            <family val="2"/>
          </rPr>
          <t xml:space="preserve">Sources: /mnt/data/21056763_Jaunich_20211020173423.pdf and /mnt/data/Lab Results - 1701206.pdf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1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1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T5" authorId="0">
      <text>
        <r>
          <rPr>
            <sz val="10"/>
            <rFont val="Arial"/>
            <family val="2"/>
          </rPr>
          <t xml:space="preserve">Sources: /mnt/data/21056763_Jaunich_20211020173423.pdf ; /mnt/data/Lab Information.pdf ; /mnt/data/Lab Results - 1701206.pdf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23</xdr:rowOff>
              </xdr:from>
              <xdr:to>
                <xdr:col>1</xdr:col>
                <xdr:colOff>1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<sst xmlns="http://schemas.openxmlformats.org/spreadsheetml/2006/main" count="4870" uniqueCount="1605">
  <si>
    <t xml:space="preserve">species_name</t>
  </si>
  <si>
    <t xml:space="preserve">Stachybotrys chartarum</t>
  </si>
  <si>
    <t xml:space="preserve">Stachybotrys chlorohalonata</t>
  </si>
  <si>
    <t xml:space="preserve">Stachybotrys</t>
  </si>
  <si>
    <t xml:space="preserve">Toxigenic</t>
  </si>
  <si>
    <t xml:space="preserve">dark green</t>
  </si>
  <si>
    <t xml:space="preserve">black</t>
  </si>
  <si>
    <t xml:space="preserve">slimy</t>
  </si>
  <si>
    <t xml:space="preserve">patchy</t>
  </si>
  <si>
    <t xml:space="preserve">drywall, wallpaper, cellulose</t>
  </si>
  <si>
    <t xml:space="preserve">water damaged walls, ceilings</t>
  </si>
  <si>
    <t xml:space="preserve">high</t>
  </si>
  <si>
    <t xml:space="preserve">70+</t>
  </si>
  <si>
    <t xml:space="preserve">20-30</t>
  </si>
  <si>
    <t xml:space="preserve">yes</t>
  </si>
  <si>
    <t xml:space="preserve">rare</t>
  </si>
  <si>
    <t xml:space="preserve">remove porous materials; correct moisture</t>
  </si>
  <si>
    <t xml:space="preserve">black_colony, slimy_texture, water_damage</t>
  </si>
  <si>
    <t xml:space="preserve">Sticky water-damage group</t>
  </si>
  <si>
    <t xml:space="preserve">toxic + allergenic</t>
  </si>
  <si>
    <t xml:space="preserve">48-72+ hrs after sustained wetting</t>
  </si>
  <si>
    <t xml:space="preserve">surface/bulk preferred; air may under-represent</t>
  </si>
  <si>
    <t xml:space="preserve">no</t>
  </si>
  <si>
    <t xml:space="preserve">dark green, black, slimy, patchy</t>
  </si>
  <si>
    <t xml:space="preserve">porous materials preferred; non-porous growth usually on rare</t>
  </si>
  <si>
    <t xml:space="preserve">Aspergillus niger</t>
  </si>
  <si>
    <t xml:space="preserve">Aspergillus</t>
  </si>
  <si>
    <t xml:space="preserve">Allergenic / Opportunistic</t>
  </si>
  <si>
    <t xml:space="preserve">green</t>
  </si>
  <si>
    <t xml:space="preserve">gray</t>
  </si>
  <si>
    <t xml:space="preserve">powdery</t>
  </si>
  <si>
    <t xml:space="preserve">circular</t>
  </si>
  <si>
    <t xml:space="preserve">drywall, insulation, dust</t>
  </si>
  <si>
    <t xml:space="preserve">HVAC, walls, dust reservoirs</t>
  </si>
  <si>
    <t xml:space="preserve">moderate</t>
  </si>
  <si>
    <t xml:space="preserve">60+</t>
  </si>
  <si>
    <t xml:space="preserve">20-37</t>
  </si>
  <si>
    <t xml:space="preserve">possible via dust</t>
  </si>
  <si>
    <t xml:space="preserve">some strains</t>
  </si>
  <si>
    <t xml:space="preserve">HEPA vacuum + damp wipe if light</t>
  </si>
  <si>
    <t xml:space="preserve">green_powdery, round_colony, dusty_growth</t>
  </si>
  <si>
    <t xml:space="preserve">Aspergillus/Penicillium-like</t>
  </si>
  <si>
    <t xml:space="preserve">low-to-moderate</t>
  </si>
  <si>
    <t xml:space="preserve">allergenic + opportunistic infectious</t>
  </si>
  <si>
    <t xml:space="preserve">24-48 hrs with persistent humidity</t>
  </si>
  <si>
    <t xml:space="preserve">air + surface/bulk</t>
  </si>
  <si>
    <t xml:space="preserve">green, gray, powdery, circular</t>
  </si>
  <si>
    <t xml:space="preserve">porous materials preferred; non-porous growth usually on possible via dust</t>
  </si>
  <si>
    <t xml:space="preserve">Aspergillus fumigatus</t>
  </si>
  <si>
    <t xml:space="preserve">Aspergillus flavus</t>
  </si>
  <si>
    <t xml:space="preserve">Aspergillus versicolor</t>
  </si>
  <si>
    <t xml:space="preserve">Aspergillus terreus</t>
  </si>
  <si>
    <t xml:space="preserve">Aspergillus ochraceus</t>
  </si>
  <si>
    <t xml:space="preserve">Aspergillus sydowii</t>
  </si>
  <si>
    <t xml:space="preserve">Aspergillus glaucus</t>
  </si>
  <si>
    <t xml:space="preserve">Aspergillus candidus</t>
  </si>
  <si>
    <t xml:space="preserve">Aspergillus restrictus</t>
  </si>
  <si>
    <t xml:space="preserve">Penicillium chrysogenum</t>
  </si>
  <si>
    <t xml:space="preserve">Penicillium</t>
  </si>
  <si>
    <t xml:space="preserve">Common indoor</t>
  </si>
  <si>
    <t xml:space="preserve">blue green</t>
  </si>
  <si>
    <t xml:space="preserve">white</t>
  </si>
  <si>
    <t xml:space="preserve">velvety</t>
  </si>
  <si>
    <t xml:space="preserve">spreading</t>
  </si>
  <si>
    <t xml:space="preserve">carpet, wallpaper, drywall</t>
  </si>
  <si>
    <t xml:space="preserve">basements, walls, stored materials</t>
  </si>
  <si>
    <t xml:space="preserve">15-30</t>
  </si>
  <si>
    <t xml:space="preserve">dry area; remove damaged porous material if extensive</t>
  </si>
  <si>
    <t xml:space="preserve">blue_green_velvet, diffuse_edges</t>
  </si>
  <si>
    <t xml:space="preserve">blue green, white, velvety, spreading</t>
  </si>
  <si>
    <t xml:space="preserve">Penicillium expansum</t>
  </si>
  <si>
    <t xml:space="preserve">Penicillium citrinum</t>
  </si>
  <si>
    <t xml:space="preserve">Penicillium brevicompactum</t>
  </si>
  <si>
    <t xml:space="preserve">Penicillium commune</t>
  </si>
  <si>
    <t xml:space="preserve">Penicillium crustosum</t>
  </si>
  <si>
    <t xml:space="preserve">Penicillium aurantiogriseum</t>
  </si>
  <si>
    <t xml:space="preserve">Penicillium roqueforti</t>
  </si>
  <si>
    <t xml:space="preserve">Cladosporium cladosporioides</t>
  </si>
  <si>
    <t xml:space="preserve">Cladosporium</t>
  </si>
  <si>
    <t xml:space="preserve">olive green</t>
  </si>
  <si>
    <t xml:space="preserve">brown</t>
  </si>
  <si>
    <t xml:space="preserve">spotty</t>
  </si>
  <si>
    <t xml:space="preserve">wood, textiles, painted surfaces</t>
  </si>
  <si>
    <t xml:space="preserve">window sashes, HVAC, bathrooms</t>
  </si>
  <si>
    <t xml:space="preserve">10-30</t>
  </si>
  <si>
    <t xml:space="preserve">possible on dirty surfaces</t>
  </si>
  <si>
    <t xml:space="preserve">low to moderate</t>
  </si>
  <si>
    <t xml:space="preserve">clean visible growth and reduce condensation</t>
  </si>
  <si>
    <t xml:space="preserve">olive_spots, pepper_like_colonies</t>
  </si>
  <si>
    <t xml:space="preserve">Cladosporium common-allergen group</t>
  </si>
  <si>
    <t xml:space="preserve">common indoor / allergen potential</t>
  </si>
  <si>
    <t xml:space="preserve">olive green, brown, powdery, spotty</t>
  </si>
  <si>
    <t xml:space="preserve">porous materials preferred; non-porous growth usually on possible on dirty surfaces</t>
  </si>
  <si>
    <t xml:space="preserve">Cladosporium herbarum</t>
  </si>
  <si>
    <t xml:space="preserve">Cladosporium sphaerospermum</t>
  </si>
  <si>
    <t xml:space="preserve">Cladosporium oxysporum</t>
  </si>
  <si>
    <t xml:space="preserve">Alternaria alternata</t>
  </si>
  <si>
    <t xml:space="preserve">Alternaria</t>
  </si>
  <si>
    <t xml:space="preserve">Allergenic</t>
  </si>
  <si>
    <t xml:space="preserve">dark brown</t>
  </si>
  <si>
    <t xml:space="preserve">olive</t>
  </si>
  <si>
    <t xml:space="preserve">concentric</t>
  </si>
  <si>
    <t xml:space="preserve">window trim, drywall, fabrics</t>
  </si>
  <si>
    <t xml:space="preserve">condensation-prone windows, bathrooms</t>
  </si>
  <si>
    <t xml:space="preserve">65+</t>
  </si>
  <si>
    <t xml:space="preserve">18-30</t>
  </si>
  <si>
    <t xml:space="preserve">possible on dirty seals</t>
  </si>
  <si>
    <t xml:space="preserve">possible</t>
  </si>
  <si>
    <t xml:space="preserve">clean minor growth; correct condensation source</t>
  </si>
  <si>
    <t xml:space="preserve">brown_velvet, concentric_rings</t>
  </si>
  <si>
    <t xml:space="preserve">Dark multicellular spore group</t>
  </si>
  <si>
    <t xml:space="preserve">allergenic</t>
  </si>
  <si>
    <t xml:space="preserve">dark brown, olive, velvety, concentric</t>
  </si>
  <si>
    <t xml:space="preserve">porous materials preferred; non-porous growth usually on possible on dirty seals</t>
  </si>
  <si>
    <t xml:space="preserve">Alternaria tenuissima</t>
  </si>
  <si>
    <t xml:space="preserve">Alternaria infectoria</t>
  </si>
  <si>
    <t xml:space="preserve">Alternaria atra</t>
  </si>
  <si>
    <t xml:space="preserve">Chaetomium globosum</t>
  </si>
  <si>
    <t xml:space="preserve">Chaetomium</t>
  </si>
  <si>
    <t xml:space="preserve">Water damage mold</t>
  </si>
  <si>
    <t xml:space="preserve">white to gray</t>
  </si>
  <si>
    <t xml:space="preserve">olive brown</t>
  </si>
  <si>
    <t xml:space="preserve">cottony</t>
  </si>
  <si>
    <t xml:space="preserve">wet drywall, paper backing, cellulose</t>
  </si>
  <si>
    <t xml:space="preserve">flooded walls, subfloors</t>
  </si>
  <si>
    <t xml:space="preserve">20-32</t>
  </si>
  <si>
    <t xml:space="preserve">remove contaminated porous materials; dry structure</t>
  </si>
  <si>
    <t xml:space="preserve">cottony_colony, water_damage, brown_maturation</t>
  </si>
  <si>
    <t xml:space="preserve">Chaetomium water-damage marker</t>
  </si>
  <si>
    <t xml:space="preserve">white to gray, olive brown, cottony, patchy</t>
  </si>
  <si>
    <t xml:space="preserve">Chaetomium murorum</t>
  </si>
  <si>
    <t xml:space="preserve">Chaetomium elatum</t>
  </si>
  <si>
    <t xml:space="preserve">Chaetomium atrobrunneum</t>
  </si>
  <si>
    <t xml:space="preserve">Ulocladium chartarum</t>
  </si>
  <si>
    <t xml:space="preserve">Ulocladium</t>
  </si>
  <si>
    <t xml:space="preserve">wallboard, wood, paper</t>
  </si>
  <si>
    <t xml:space="preserve">chronically wet bathrooms, basements</t>
  </si>
  <si>
    <t xml:space="preserve">remove wet porous materials and control moisture</t>
  </si>
  <si>
    <t xml:space="preserve">dark_velvet, wet_zone_growth</t>
  </si>
  <si>
    <t xml:space="preserve">surface/bulk + air comparison</t>
  </si>
  <si>
    <t xml:space="preserve">dark brown, black, velvety, patchy</t>
  </si>
  <si>
    <t xml:space="preserve">Ulocladium atrum</t>
  </si>
  <si>
    <t xml:space="preserve">Fusarium oxysporum</t>
  </si>
  <si>
    <t xml:space="preserve">Fusarium</t>
  </si>
  <si>
    <t xml:space="preserve">Pathogenic / Water damage mold</t>
  </si>
  <si>
    <t xml:space="preserve">pink</t>
  </si>
  <si>
    <t xml:space="preserve">carpet, wallpaper, wet drywall</t>
  </si>
  <si>
    <t xml:space="preserve">flooded materials, HVAC liners</t>
  </si>
  <si>
    <t xml:space="preserve">moderate to high</t>
  </si>
  <si>
    <t xml:space="preserve">remove contaminated porous materials; use PPE</t>
  </si>
  <si>
    <t xml:space="preserve">pink_white_growth, cottony_texture</t>
  </si>
  <si>
    <t xml:space="preserve">Fusarium sickle-spore group</t>
  </si>
  <si>
    <t xml:space="preserve">pink, white, cottony, spreading</t>
  </si>
  <si>
    <t xml:space="preserve">Fusarium solani</t>
  </si>
  <si>
    <t xml:space="preserve">Fusarium verticillioides</t>
  </si>
  <si>
    <t xml:space="preserve">Fusarium proliferatum</t>
  </si>
  <si>
    <t xml:space="preserve">Fusarium dimerum</t>
  </si>
  <si>
    <t xml:space="preserve">Trichoderma viride</t>
  </si>
  <si>
    <t xml:space="preserve">Trichoderma</t>
  </si>
  <si>
    <t xml:space="preserve">bright green</t>
  </si>
  <si>
    <t xml:space="preserve">dense</t>
  </si>
  <si>
    <t xml:space="preserve">wet wood, drywall, paper</t>
  </si>
  <si>
    <t xml:space="preserve">leak areas, framing cavities</t>
  </si>
  <si>
    <t xml:space="preserve">18-32</t>
  </si>
  <si>
    <t xml:space="preserve">remove wet porous materials; dry source</t>
  </si>
  <si>
    <t xml:space="preserve">bright_green_patch, dense_colony</t>
  </si>
  <si>
    <t xml:space="preserve">bright green, white, dense, patchy</t>
  </si>
  <si>
    <t xml:space="preserve">Trichoderma harzianum</t>
  </si>
  <si>
    <t xml:space="preserve">Trichoderma koningii</t>
  </si>
  <si>
    <t xml:space="preserve">Trichoderma longibrachiatum</t>
  </si>
  <si>
    <t xml:space="preserve">Aureobasidium pullulans</t>
  </si>
  <si>
    <t xml:space="preserve">Aureobasidium</t>
  </si>
  <si>
    <t xml:space="preserve">slimy to smooth</t>
  </si>
  <si>
    <t xml:space="preserve">streaky</t>
  </si>
  <si>
    <t xml:space="preserve">painted wood, caulk</t>
  </si>
  <si>
    <t xml:space="preserve">window frames, bathrooms</t>
  </si>
  <si>
    <t xml:space="preserve">10-35</t>
  </si>
  <si>
    <t xml:space="preserve">clean with detergent; reduce condensation</t>
  </si>
  <si>
    <t xml:space="preserve">pink_black_streaks, glossy_growth</t>
  </si>
  <si>
    <t xml:space="preserve">Aureobasidium visual group</t>
  </si>
  <si>
    <t xml:space="preserve">air and/or surface depending on context</t>
  </si>
  <si>
    <t xml:space="preserve">pink, black, slimy to smooth, streaky</t>
  </si>
  <si>
    <t xml:space="preserve">porous materials preferred; non-porous growth usually on possible</t>
  </si>
  <si>
    <t xml:space="preserve">Mucor racemosus</t>
  </si>
  <si>
    <t xml:space="preserve">Mucor</t>
  </si>
  <si>
    <t xml:space="preserve">Fast-growing indoor</t>
  </si>
  <si>
    <t xml:space="preserve">fuzzy</t>
  </si>
  <si>
    <t xml:space="preserve">rapid spreading</t>
  </si>
  <si>
    <t xml:space="preserve">food residue, dust, wet drywall</t>
  </si>
  <si>
    <t xml:space="preserve">kitchens, basements</t>
  </si>
  <si>
    <t xml:space="preserve">possible via debris</t>
  </si>
  <si>
    <t xml:space="preserve">clean and dry promptly; discard heavily colonized materials</t>
  </si>
  <si>
    <t xml:space="preserve">white_fuzzy, rapid_spread</t>
  </si>
  <si>
    <t xml:space="preserve">Zygomycete-like fast-growth group</t>
  </si>
  <si>
    <t xml:space="preserve">white, gray, fuzzy, rapid spreading</t>
  </si>
  <si>
    <t xml:space="preserve">porous materials preferred; non-porous growth usually on possible via debris</t>
  </si>
  <si>
    <t xml:space="preserve">Mucor circinelloides</t>
  </si>
  <si>
    <t xml:space="preserve">Mucor hiemalis</t>
  </si>
  <si>
    <t xml:space="preserve">Rhizopus stolonifer</t>
  </si>
  <si>
    <t xml:space="preserve">Rhizopus</t>
  </si>
  <si>
    <t xml:space="preserve">food, dust, damp drywall</t>
  </si>
  <si>
    <t xml:space="preserve">kitchens, trash areas</t>
  </si>
  <si>
    <t xml:space="preserve">15-32</t>
  </si>
  <si>
    <t xml:space="preserve">remove source debris and dry area</t>
  </si>
  <si>
    <t xml:space="preserve">black_heads, fuzzy_mat</t>
  </si>
  <si>
    <t xml:space="preserve">white, black, fuzzy, rapid spreading</t>
  </si>
  <si>
    <t xml:space="preserve">Rhizopus arrhizus</t>
  </si>
  <si>
    <t xml:space="preserve">Epicoccum nigrum</t>
  </si>
  <si>
    <t xml:space="preserve">Epicoccum</t>
  </si>
  <si>
    <t xml:space="preserve">orange</t>
  </si>
  <si>
    <t xml:space="preserve">painted surfaces, textiles</t>
  </si>
  <si>
    <t xml:space="preserve">window frames, damp rooms</t>
  </si>
  <si>
    <t xml:space="preserve">clean lightly affected surfaces and reduce humidity</t>
  </si>
  <si>
    <t xml:space="preserve">orange_spots, small_round_colonies</t>
  </si>
  <si>
    <t xml:space="preserve">Epicoccum visual group</t>
  </si>
  <si>
    <t xml:space="preserve">orange, brown, powdery, spotty</t>
  </si>
  <si>
    <t xml:space="preserve">Epicoccum sorghinum</t>
  </si>
  <si>
    <t xml:space="preserve">Curvularia lunata</t>
  </si>
  <si>
    <t xml:space="preserve">Curvularia</t>
  </si>
  <si>
    <t xml:space="preserve">irregular</t>
  </si>
  <si>
    <t xml:space="preserve">textiles, drywall, dust</t>
  </si>
  <si>
    <t xml:space="preserve">HVAC, damp rooms</t>
  </si>
  <si>
    <t xml:space="preserve">clean and dry; HEPA dust removal</t>
  </si>
  <si>
    <t xml:space="preserve">dark_irregular, velvet_texture</t>
  </si>
  <si>
    <t xml:space="preserve">Curvularia visual group</t>
  </si>
  <si>
    <t xml:space="preserve">dark brown, black, velvety, irregular</t>
  </si>
  <si>
    <t xml:space="preserve">Curvularia geniculata</t>
  </si>
  <si>
    <t xml:space="preserve">Nigrospora oryzae</t>
  </si>
  <si>
    <t xml:space="preserve">Nigrospora</t>
  </si>
  <si>
    <t xml:space="preserve">plant debris, drywall</t>
  </si>
  <si>
    <t xml:space="preserve">window areas, storage</t>
  </si>
  <si>
    <t xml:space="preserve">low</t>
  </si>
  <si>
    <t xml:space="preserve">remove debris and clean surfaces</t>
  </si>
  <si>
    <t xml:space="preserve">black_spots, dust_like</t>
  </si>
  <si>
    <t xml:space="preserve">Nigrospora visual group</t>
  </si>
  <si>
    <t xml:space="preserve">black, gray, powdery, spotty</t>
  </si>
  <si>
    <t xml:space="preserve">Nigrospora sphaerica</t>
  </si>
  <si>
    <t xml:space="preserve">Phoma herbarum</t>
  </si>
  <si>
    <t xml:space="preserve">Phoma</t>
  </si>
  <si>
    <t xml:space="preserve">paint, paper, drywall</t>
  </si>
  <si>
    <t xml:space="preserve">wet walls, window frames</t>
  </si>
  <si>
    <t xml:space="preserve">possible on painted surfaces</t>
  </si>
  <si>
    <t xml:space="preserve">clean light growth; remove damaged porous materials if persistent</t>
  </si>
  <si>
    <t xml:space="preserve">olive_black_patch, moisture_halo</t>
  </si>
  <si>
    <t xml:space="preserve">Phoma visual group</t>
  </si>
  <si>
    <t xml:space="preserve">olive brown, black, powdery, patchy</t>
  </si>
  <si>
    <t xml:space="preserve">porous materials preferred; non-porous growth usually on possible on painted surfaces</t>
  </si>
  <si>
    <t xml:space="preserve">Phoma glomerata</t>
  </si>
  <si>
    <t xml:space="preserve">Stemphylium botryosum</t>
  </si>
  <si>
    <t xml:space="preserve">Stemphylium</t>
  </si>
  <si>
    <t xml:space="preserve">window trim, drywall</t>
  </si>
  <si>
    <t xml:space="preserve">condensation-prone areas</t>
  </si>
  <si>
    <t xml:space="preserve">clean and manage humidity</t>
  </si>
  <si>
    <t xml:space="preserve">brown_patch, velvety_surface</t>
  </si>
  <si>
    <t xml:space="preserve">brown, olive, velvety, patchy</t>
  </si>
  <si>
    <t xml:space="preserve">Stemphylium vesicarium</t>
  </si>
  <si>
    <t xml:space="preserve">Scopulariopsis brevicaulis</t>
  </si>
  <si>
    <t xml:space="preserve">Scopulariopsis</t>
  </si>
  <si>
    <t xml:space="preserve">Dry environment mold</t>
  </si>
  <si>
    <t xml:space="preserve">tan</t>
  </si>
  <si>
    <t xml:space="preserve">wood, paper, dust</t>
  </si>
  <si>
    <t xml:space="preserve">attics, dry walls, stored boxes</t>
  </si>
  <si>
    <t xml:space="preserve">55+</t>
  </si>
  <si>
    <t xml:space="preserve">HEPA vacuum and dry clean-up</t>
  </si>
  <si>
    <t xml:space="preserve">tan_powder, dry_surface</t>
  </si>
  <si>
    <t xml:space="preserve">Scopulariopsis visual group</t>
  </si>
  <si>
    <t xml:space="preserve">24-48 hrs with residue + humidity</t>
  </si>
  <si>
    <t xml:space="preserve">tan, brown, powdery, patchy</t>
  </si>
  <si>
    <t xml:space="preserve">Scopulariopsis fusca</t>
  </si>
  <si>
    <t xml:space="preserve">Wallemia sebi</t>
  </si>
  <si>
    <t xml:space="preserve">Wallemia</t>
  </si>
  <si>
    <t xml:space="preserve">low profile</t>
  </si>
  <si>
    <t xml:space="preserve">dust, dry foods, drywall dust</t>
  </si>
  <si>
    <t xml:space="preserve">dry indoor air, dusty shelving</t>
  </si>
  <si>
    <t xml:space="preserve">50+</t>
  </si>
  <si>
    <t xml:space="preserve">clean dust reservoirs and improve housekeeping</t>
  </si>
  <si>
    <t xml:space="preserve">tiny_brown_colonies, dry_dusty</t>
  </si>
  <si>
    <t xml:space="preserve">Wallemia visual group</t>
  </si>
  <si>
    <t xml:space="preserve">dry-environment allergen / irritant potential</t>
  </si>
  <si>
    <t xml:space="preserve">slower; low-water-activity tolerant conditions</t>
  </si>
  <si>
    <t xml:space="preserve">brown, black, powdery, low profile</t>
  </si>
  <si>
    <t xml:space="preserve">Wallemia muriae</t>
  </si>
  <si>
    <t xml:space="preserve">Acremonium strictum</t>
  </si>
  <si>
    <t xml:space="preserve">Acremonium</t>
  </si>
  <si>
    <t xml:space="preserve">drywall, wood, dust</t>
  </si>
  <si>
    <t xml:space="preserve">bathrooms, basements, HVAC, windows</t>
  </si>
  <si>
    <t xml:space="preserve">clean visible growth, correct moisture, remove wet porous materials if extensive</t>
  </si>
  <si>
    <t xml:space="preserve">patchy_growth, discoloration, moisture_associated</t>
  </si>
  <si>
    <t xml:space="preserve">white, gray, powdery, patchy</t>
  </si>
  <si>
    <t xml:space="preserve">Acremonium kiliense</t>
  </si>
  <si>
    <t xml:space="preserve">Paecilomyces variotii</t>
  </si>
  <si>
    <t xml:space="preserve">Paecilomyces</t>
  </si>
  <si>
    <t xml:space="preserve">Purpureocillium lilacinum</t>
  </si>
  <si>
    <t xml:space="preserve">Purpureocillium</t>
  </si>
  <si>
    <t xml:space="preserve">Purpureocillium visual group</t>
  </si>
  <si>
    <t xml:space="preserve">Memnoniella echinata</t>
  </si>
  <si>
    <t xml:space="preserve">Memnoniella</t>
  </si>
  <si>
    <t xml:space="preserve">Memnoniella longistipitata</t>
  </si>
  <si>
    <t xml:space="preserve">Bipolaris spicifera</t>
  </si>
  <si>
    <t xml:space="preserve">Bipolaris</t>
  </si>
  <si>
    <t xml:space="preserve">Bipolaris visual group</t>
  </si>
  <si>
    <t xml:space="preserve">Bipolaris australiensis</t>
  </si>
  <si>
    <t xml:space="preserve">Exophiala dermatitidis</t>
  </si>
  <si>
    <t xml:space="preserve">Exophiala</t>
  </si>
  <si>
    <t xml:space="preserve">Exophiala visual group</t>
  </si>
  <si>
    <t xml:space="preserve">Exophiala jeanselmei</t>
  </si>
  <si>
    <t xml:space="preserve">Drechslera spicifera</t>
  </si>
  <si>
    <t xml:space="preserve">Drechslera</t>
  </si>
  <si>
    <t xml:space="preserve">Drechslera visual group</t>
  </si>
  <si>
    <t xml:space="preserve">Drechslera hawaiiensis</t>
  </si>
  <si>
    <t xml:space="preserve">Botrytis cinerea</t>
  </si>
  <si>
    <t xml:space="preserve">Botrytis</t>
  </si>
  <si>
    <t xml:space="preserve">Botrytis visual group</t>
  </si>
  <si>
    <t xml:space="preserve">Geotrichum candidum</t>
  </si>
  <si>
    <t xml:space="preserve">Geotrichum</t>
  </si>
  <si>
    <t xml:space="preserve">Geotrichum visual group</t>
  </si>
  <si>
    <t xml:space="preserve">Oidiodendron griseum</t>
  </si>
  <si>
    <t xml:space="preserve">Oidiodendron</t>
  </si>
  <si>
    <t xml:space="preserve">Oidiodendron visual group</t>
  </si>
  <si>
    <t xml:space="preserve">Myrothecium verrucaria</t>
  </si>
  <si>
    <t xml:space="preserve">Myrothecium</t>
  </si>
  <si>
    <t xml:space="preserve">Myrothecium visual group</t>
  </si>
  <si>
    <t xml:space="preserve">Scedosporium apiospermum</t>
  </si>
  <si>
    <t xml:space="preserve">Scedosporium</t>
  </si>
  <si>
    <t xml:space="preserve">Scedosporium visual group</t>
  </si>
  <si>
    <t xml:space="preserve">Syncephalastrum racemosum</t>
  </si>
  <si>
    <t xml:space="preserve">Syncephalastrum</t>
  </si>
  <si>
    <t xml:space="preserve">Torula herbarum</t>
  </si>
  <si>
    <t xml:space="preserve">Torula</t>
  </si>
  <si>
    <t xml:space="preserve">Torula visual group</t>
  </si>
  <si>
    <t xml:space="preserve">Verticillium dahliae</t>
  </si>
  <si>
    <t xml:space="preserve">Verticillium</t>
  </si>
  <si>
    <t xml:space="preserve">Verticillium albo-atrum</t>
  </si>
  <si>
    <t xml:space="preserve">Cunninghamella bertholletiae</t>
  </si>
  <si>
    <t xml:space="preserve">Cunninghamella</t>
  </si>
  <si>
    <t xml:space="preserve">Eurotium amstelodami</t>
  </si>
  <si>
    <t xml:space="preserve">Eurotium</t>
  </si>
  <si>
    <t xml:space="preserve">Eurotium visual group</t>
  </si>
  <si>
    <t xml:space="preserve">Humicola grisea</t>
  </si>
  <si>
    <t xml:space="preserve">Humicola</t>
  </si>
  <si>
    <t xml:space="preserve">Humicola visual group</t>
  </si>
  <si>
    <t xml:space="preserve">Lichtheimia corymbifera</t>
  </si>
  <si>
    <t xml:space="preserve">Lichtheimia</t>
  </si>
  <si>
    <t xml:space="preserve">Lichtheimia visual group</t>
  </si>
  <si>
    <t xml:space="preserve">Mortierella alpina</t>
  </si>
  <si>
    <t xml:space="preserve">Mortierella</t>
  </si>
  <si>
    <t xml:space="preserve">Mortierella visual group</t>
  </si>
  <si>
    <t xml:space="preserve">Pestalotiopsis microspora</t>
  </si>
  <si>
    <t xml:space="preserve">Pestalotiopsis</t>
  </si>
  <si>
    <t xml:space="preserve">Pestalotiopsis visual group</t>
  </si>
  <si>
    <t xml:space="preserve">Phialophora verrucosa</t>
  </si>
  <si>
    <t xml:space="preserve">Phialophora</t>
  </si>
  <si>
    <t xml:space="preserve">Rhinocladiella aquaspersa</t>
  </si>
  <si>
    <t xml:space="preserve">Rhinocladiella</t>
  </si>
  <si>
    <t xml:space="preserve">Rhinocladiella visual group</t>
  </si>
  <si>
    <t xml:space="preserve">Scolecobasidium humicola</t>
  </si>
  <si>
    <t xml:space="preserve">Scolecobasidium</t>
  </si>
  <si>
    <t xml:space="preserve">Scolecobasidium visual group</t>
  </si>
  <si>
    <t xml:space="preserve">Taeniolella stilbospora</t>
  </si>
  <si>
    <t xml:space="preserve">Taeniolella</t>
  </si>
  <si>
    <t xml:space="preserve">Taeniolella visual group</t>
  </si>
  <si>
    <t xml:space="preserve">Wangiella dermatitidis</t>
  </si>
  <si>
    <t xml:space="preserve">Wangiella</t>
  </si>
  <si>
    <t xml:space="preserve">Wangiella visual group</t>
  </si>
  <si>
    <t xml:space="preserve">Arthrinium saccharicola</t>
  </si>
  <si>
    <t xml:space="preserve">Arthrinium</t>
  </si>
  <si>
    <t xml:space="preserve">Arthrinium visual group</t>
  </si>
  <si>
    <t xml:space="preserve">Beltrania rhombica</t>
  </si>
  <si>
    <t xml:space="preserve">Beltrania</t>
  </si>
  <si>
    <t xml:space="preserve">Beltrania visual group</t>
  </si>
  <si>
    <t xml:space="preserve">Basidiobolus ranarum</t>
  </si>
  <si>
    <t xml:space="preserve">Basidiobolus</t>
  </si>
  <si>
    <t xml:space="preserve">Basidiobolus visual group</t>
  </si>
  <si>
    <t xml:space="preserve">Botryotrichum piluliferum</t>
  </si>
  <si>
    <t xml:space="preserve">Botryotrichum</t>
  </si>
  <si>
    <t xml:space="preserve">Botryotrichum visual group</t>
  </si>
  <si>
    <t xml:space="preserve">Gliocladium virens</t>
  </si>
  <si>
    <t xml:space="preserve">Gliocladium</t>
  </si>
  <si>
    <t xml:space="preserve">Gliomastix murorum</t>
  </si>
  <si>
    <t xml:space="preserve">Gliomastix</t>
  </si>
  <si>
    <t xml:space="preserve">Gliomastix visual group</t>
  </si>
  <si>
    <t xml:space="preserve">Geomyces pannorum</t>
  </si>
  <si>
    <t xml:space="preserve">Geomyces</t>
  </si>
  <si>
    <t xml:space="preserve">Geomyces visual group</t>
  </si>
  <si>
    <t xml:space="preserve">Helminthosporium solani</t>
  </si>
  <si>
    <t xml:space="preserve">Helminthosporium</t>
  </si>
  <si>
    <t xml:space="preserve">Helminthosporium visual group</t>
  </si>
  <si>
    <t xml:space="preserve">Hormodendrum hordei</t>
  </si>
  <si>
    <t xml:space="preserve">Hormodendrum</t>
  </si>
  <si>
    <t xml:space="preserve">Hormodendrum visual group</t>
  </si>
  <si>
    <t xml:space="preserve">Neosartorya fischeri</t>
  </si>
  <si>
    <t xml:space="preserve">Neosartorya</t>
  </si>
  <si>
    <t xml:space="preserve">Neosartorya visual group</t>
  </si>
  <si>
    <t xml:space="preserve">Ophiostoma ulmi</t>
  </si>
  <si>
    <t xml:space="preserve">Ophiostoma</t>
  </si>
  <si>
    <t xml:space="preserve">Ophiostoma visual group</t>
  </si>
  <si>
    <t xml:space="preserve">Pithomyces chartarum</t>
  </si>
  <si>
    <t xml:space="preserve">Pithomyces</t>
  </si>
  <si>
    <t xml:space="preserve">Pithomyces visual group</t>
  </si>
  <si>
    <t xml:space="preserve">Sporobolomyces roseus</t>
  </si>
  <si>
    <t xml:space="preserve">Sporobolomyces</t>
  </si>
  <si>
    <t xml:space="preserve">Sporobolomyces visual group</t>
  </si>
  <si>
    <t xml:space="preserve">Trichophyton mentagrophytes</t>
  </si>
  <si>
    <t xml:space="preserve">Trichophyton</t>
  </si>
  <si>
    <t xml:space="preserve">Trichophyton visual group</t>
  </si>
  <si>
    <t xml:space="preserve">Microsporum gypseum</t>
  </si>
  <si>
    <t xml:space="preserve">Microsporum</t>
  </si>
  <si>
    <t xml:space="preserve">Microsporum visual group</t>
  </si>
  <si>
    <t xml:space="preserve">Hortaea werneckii</t>
  </si>
  <si>
    <t xml:space="preserve">Hortaea</t>
  </si>
  <si>
    <t xml:space="preserve">Hortaea visual group</t>
  </si>
  <si>
    <t xml:space="preserve">Scytalidium dimidiatum</t>
  </si>
  <si>
    <t xml:space="preserve">Scytalidium</t>
  </si>
  <si>
    <t xml:space="preserve">Scytalidium visual group</t>
  </si>
  <si>
    <t xml:space="preserve">Rhizomucor pusillus</t>
  </si>
  <si>
    <t xml:space="preserve">Rhizomucor</t>
  </si>
  <si>
    <t xml:space="preserve">Rhizomucor visual group</t>
  </si>
  <si>
    <t xml:space="preserve">Meyerozyma guilliermondii</t>
  </si>
  <si>
    <t xml:space="preserve">Meyerozyma</t>
  </si>
  <si>
    <t xml:space="preserve">Meyerozyma visual group</t>
  </si>
  <si>
    <t xml:space="preserve">Candida parapsilosis</t>
  </si>
  <si>
    <t xml:space="preserve">Candida</t>
  </si>
  <si>
    <t xml:space="preserve">Candida visual group</t>
  </si>
  <si>
    <t xml:space="preserve">Candida tropicalis</t>
  </si>
  <si>
    <t xml:space="preserve">Rhodotorula mucilaginosa</t>
  </si>
  <si>
    <t xml:space="preserve">Rhodotorula</t>
  </si>
  <si>
    <t xml:space="preserve">Rhodotorula visual group</t>
  </si>
  <si>
    <t xml:space="preserve">Debaryomyces hansenii</t>
  </si>
  <si>
    <t xml:space="preserve">Debaryomyces</t>
  </si>
  <si>
    <t xml:space="preserve">Debaryomyces visual group</t>
  </si>
  <si>
    <t xml:space="preserve">Malassezia furfur</t>
  </si>
  <si>
    <t xml:space="preserve">Malassezia</t>
  </si>
  <si>
    <t xml:space="preserve">Malassezia visual group</t>
  </si>
  <si>
    <t xml:space="preserve">Home Health AI Mold Database v7 Full AI Mold Intelligence System – Summary</t>
  </si>
  <si>
    <t xml:space="preserve">Executive metrics for Home Health AI / Inspector Gnome.</t>
  </si>
  <si>
    <t xml:space="preserve">Total species</t>
  </si>
  <si>
    <t xml:space="preserve">All homes contain mold spores. The problem is elevated indoor spore levels and/or active colony growth driven by moisture.</t>
  </si>
  <si>
    <t xml:space="preserve">Unique genera</t>
  </si>
  <si>
    <t xml:space="preserve">Use moisture + material + visual pattern + lab context together. Never diagnose from color alone.</t>
  </si>
  <si>
    <t xml:space="preserve">High moisture species</t>
  </si>
  <si>
    <t xml:space="preserve">High-moisture molds are stronger indicators of chronic wet conditions.</t>
  </si>
  <si>
    <t xml:space="preserve">Moderate moisture species</t>
  </si>
  <si>
    <t xml:space="preserve">Moderate-moisture molds may appear with humidity, condensation, HVAC, or intermittent leaks.</t>
  </si>
  <si>
    <t xml:space="preserve">Low moisture species</t>
  </si>
  <si>
    <t xml:space="preserve">Low-moisture molds may still matter if amplification or susceptible occupants are present.</t>
  </si>
  <si>
    <t xml:space="preserve">Known mycotoxin producers</t>
  </si>
  <si>
    <t xml:space="preserve">Toxin potential increases priority, but risk communication should stay careful and non-medical.</t>
  </si>
  <si>
    <t xml:space="preserve">Warning marker species</t>
  </si>
  <si>
    <t xml:space="preserve">Marker molds can warn of conditions that support Stachybotrys-like growth.</t>
  </si>
  <si>
    <t xml:space="preserve">Visual AI labels</t>
  </si>
  <si>
    <t xml:space="preserve">Image taxonomy powers computer vision labeling and QA.</t>
  </si>
  <si>
    <t xml:space="preserve">Early detection signs</t>
  </si>
  <si>
    <t xml:space="preserve">Early signs help AI catch issues before visible colonies dominate.</t>
  </si>
  <si>
    <t xml:space="preserve">Cleaning agent entries</t>
  </si>
  <si>
    <t xml:space="preserve">Cleaning guidance should never replace removal of wet, mold-damaged porous materials.</t>
  </si>
  <si>
    <t xml:space="preserve">Lab rule rows</t>
  </si>
  <si>
    <t xml:space="preserve">Lab interpretation rules anchor the app to real-world mold reporting language.</t>
  </si>
  <si>
    <t xml:space="preserve">Real lab data rows</t>
  </si>
  <si>
    <t xml:space="preserve">Real reports improve calibration and reduce overconfident AI claims.</t>
  </si>
  <si>
    <t xml:space="preserve">System control scenarios</t>
  </si>
  <si>
    <t xml:space="preserve">Control scenarios allow quick MVP testing.</t>
  </si>
  <si>
    <t xml:space="preserve">New in v5</t>
  </si>
  <si>
    <t xml:space="preserve">Moisture-source classification, room-by-room inspection logic, remediation decision framework, and image-label taxonomy.</t>
  </si>
  <si>
    <t xml:space="preserve">Primary benefit</t>
  </si>
  <si>
    <t xml:space="preserve">Improves AI triage, makes outputs more explainable, and creates training labels your developer can use for computer vision and workflow logic.</t>
  </si>
  <si>
    <t xml:space="preserve">Best use</t>
  </si>
  <si>
    <t xml:space="preserve">Pair with v4 decision tree and scoring model so the app can identify likely source, room context, recommended next step, and appropriate wording.</t>
  </si>
  <si>
    <t xml:space="preserve">Integrated uploaded files</t>
  </si>
  <si>
    <t xml:space="preserve">SanAir analysis report example + Lab Information interpretation guide</t>
  </si>
  <si>
    <t xml:space="preserve">What was added</t>
  </si>
  <si>
    <t xml:space="preserve">Lab Interpretation Rules sheet, Lab Sample Examples sheet, direct-ID scale, background-density logic, and training-safe sample examples.</t>
  </si>
  <si>
    <t xml:space="preserve">sign_name</t>
  </si>
  <si>
    <t xml:space="preserve">Micro-speckling</t>
  </si>
  <si>
    <t xml:space="preserve">Moisture halo</t>
  </si>
  <si>
    <t xml:space="preserve">circular or irregular stain edge around leak path</t>
  </si>
  <si>
    <t xml:space="preserve">drywall, plaster</t>
  </si>
  <si>
    <t xml:space="preserve">higher if color gradient present</t>
  </si>
  <si>
    <t xml:space="preserve">check leak/condensation</t>
  </si>
  <si>
    <t xml:space="preserve">Glossy sheen</t>
  </si>
  <si>
    <t xml:space="preserve">localized wet reflective patch</t>
  </si>
  <si>
    <t xml:space="preserve">paint, wood, caulk</t>
  </si>
  <si>
    <t xml:space="preserve">higher with repeated humidity</t>
  </si>
  <si>
    <t xml:space="preserve">reduce RH and inspect source</t>
  </si>
  <si>
    <t xml:space="preserve">Texture lift</t>
  </si>
  <si>
    <t xml:space="preserve">raised or fuzzy surface compared with adjacent area</t>
  </si>
  <si>
    <t xml:space="preserve">wallpaper, drywall</t>
  </si>
  <si>
    <t xml:space="preserve">higher if edge is irregular</t>
  </si>
  <si>
    <t xml:space="preserve">capture macro image and inspect</t>
  </si>
  <si>
    <t xml:space="preserve">Concentric rings</t>
  </si>
  <si>
    <t xml:space="preserve">ringed colony structure</t>
  </si>
  <si>
    <t xml:space="preserve">window trim, caulk</t>
  </si>
  <si>
    <t xml:space="preserve">suggestive for Alternaria-like growth</t>
  </si>
  <si>
    <t xml:space="preserve">clean/inspect promptly</t>
  </si>
  <si>
    <t xml:space="preserve">Velvet patch</t>
  </si>
  <si>
    <t xml:space="preserve">matte velvet-like patch</t>
  </si>
  <si>
    <t xml:space="preserve">painted surfaces, wood</t>
  </si>
  <si>
    <t xml:space="preserve">common in Cladosporium/Alternaria</t>
  </si>
  <si>
    <t xml:space="preserve">confirm moisture and sample if needed</t>
  </si>
  <si>
    <t xml:space="preserve">Pink-black streaking</t>
  </si>
  <si>
    <t xml:space="preserve">pink or black streaks in condensation zones</t>
  </si>
  <si>
    <t xml:space="preserve">window tracks, caulk</t>
  </si>
  <si>
    <t xml:space="preserve">common for Aureobasidium-like growth</t>
  </si>
  <si>
    <t xml:space="preserve">clean and control condensation</t>
  </si>
  <si>
    <t xml:space="preserve">Green powder bloom</t>
  </si>
  <si>
    <t xml:space="preserve">fine green dust-like bloom</t>
  </si>
  <si>
    <t xml:space="preserve">HVAC dust, insulation</t>
  </si>
  <si>
    <t xml:space="preserve">common in Aspergillus/Penicillium patterns</t>
  </si>
  <si>
    <t xml:space="preserve">use PPE and HEPA clean</t>
  </si>
  <si>
    <t xml:space="preserve">Cottony white growth</t>
  </si>
  <si>
    <t xml:space="preserve">soft tufted early growth</t>
  </si>
  <si>
    <t xml:space="preserve">cellulose materials</t>
  </si>
  <si>
    <t xml:space="preserve">higher concern on wet drywall</t>
  </si>
  <si>
    <t xml:space="preserve">remove wet porous material</t>
  </si>
  <si>
    <t xml:space="preserve">Dark wet-zone patch</t>
  </si>
  <si>
    <t xml:space="preserve">dark patch confined to chronically wet area</t>
  </si>
  <si>
    <t xml:space="preserve">subfloors, walls</t>
  </si>
  <si>
    <t xml:space="preserve">higher concern if slimy</t>
  </si>
  <si>
    <t xml:space="preserve">isolate and assess</t>
  </si>
  <si>
    <t xml:space="preserve">Pepper vent spotting</t>
  </si>
  <si>
    <t xml:space="preserve">speckling around registers</t>
  </si>
  <si>
    <t xml:space="preserve">HVAC diffusers, ceiling</t>
  </si>
  <si>
    <t xml:space="preserve">higher if repeated after cleaning</t>
  </si>
  <si>
    <t xml:space="preserve">inspect ducts and RH</t>
  </si>
  <si>
    <t xml:space="preserve">Bubbling paint</t>
  </si>
  <si>
    <t xml:space="preserve">surface deformation with discoloration</t>
  </si>
  <si>
    <t xml:space="preserve">painted drywall</t>
  </si>
  <si>
    <t xml:space="preserve">not mold alone but strong moisture precursor</t>
  </si>
  <si>
    <t xml:space="preserve">open wall if persistent</t>
  </si>
  <si>
    <t xml:space="preserve">agent</t>
  </si>
  <si>
    <t xml:space="preserve">Dawn dish soap / detergent</t>
  </si>
  <si>
    <t xml:space="preserve">Hydrogen peroxide</t>
  </si>
  <si>
    <t xml:space="preserve">light staining and surface disinfection support</t>
  </si>
  <si>
    <t xml:space="preserve">tile, grout, some hard surfaces</t>
  </si>
  <si>
    <t xml:space="preserve">test fabrics and finished wood first</t>
  </si>
  <si>
    <t xml:space="preserve">can lighten staining</t>
  </si>
  <si>
    <t xml:space="preserve">Vinegar</t>
  </si>
  <si>
    <t xml:space="preserve">mild cleaning where appropriate</t>
  </si>
  <si>
    <t xml:space="preserve">tile, glass, some non-stone surfaces</t>
  </si>
  <si>
    <t xml:space="preserve">avoid natural stone and incompatible finishes</t>
  </si>
  <si>
    <t xml:space="preserve">household option, not a substitute for drying</t>
  </si>
  <si>
    <t xml:space="preserve">HEPA vacuum</t>
  </si>
  <si>
    <t xml:space="preserve">spore capture during cleanup</t>
  </si>
  <si>
    <t xml:space="preserve">dry surfaces and surrounding dust</t>
  </si>
  <si>
    <t xml:space="preserve">do not use standard vacuum</t>
  </si>
  <si>
    <t xml:space="preserve">best paired with damp wipe</t>
  </si>
  <si>
    <t xml:space="preserve">Microfiber damp wipe</t>
  </si>
  <si>
    <t xml:space="preserve">final wipe after HEPA removal</t>
  </si>
  <si>
    <t xml:space="preserve">non-porous surfaces</t>
  </si>
  <si>
    <t xml:space="preserve">avoid oversaturating materials</t>
  </si>
  <si>
    <t xml:space="preserve">change cloths frequently</t>
  </si>
  <si>
    <t xml:space="preserve">Concrobium or similar</t>
  </si>
  <si>
    <t xml:space="preserve">post-cleaning control on some surfaces</t>
  </si>
  <si>
    <t xml:space="preserve">framing, sheathing, hard surfaces</t>
  </si>
  <si>
    <t xml:space="preserve">follow label; not a shortcut for demolition</t>
  </si>
  <si>
    <t xml:space="preserve">commonly used in remediation workflows</t>
  </si>
  <si>
    <t xml:space="preserve">Botanical antimicrobial</t>
  </si>
  <si>
    <t xml:space="preserve">supplemental cleaning</t>
  </si>
  <si>
    <t xml:space="preserve">hard surfaces</t>
  </si>
  <si>
    <t xml:space="preserve">not a replacement for moisture control</t>
  </si>
  <si>
    <t xml:space="preserve">follow label and ventilation guidance</t>
  </si>
  <si>
    <t xml:space="preserve">Enzyme cleaner</t>
  </si>
  <si>
    <t xml:space="preserve">organic residue removal</t>
  </si>
  <si>
    <t xml:space="preserve">some hard surfaces</t>
  </si>
  <si>
    <t xml:space="preserve">avoid if incompatible with finish</t>
  </si>
  <si>
    <t xml:space="preserve">use only as directed</t>
  </si>
  <si>
    <t xml:space="preserve">Discard and replace</t>
  </si>
  <si>
    <t xml:space="preserve">saturated porous materials</t>
  </si>
  <si>
    <t xml:space="preserve">drywall, insulation, carpet pad</t>
  </si>
  <si>
    <t xml:space="preserve">not applicable</t>
  </si>
  <si>
    <t xml:space="preserve">best practice for persistent colonization</t>
  </si>
  <si>
    <t xml:space="preserve">field_name</t>
  </si>
  <si>
    <t xml:space="preserve">genus</t>
  </si>
  <si>
    <t xml:space="preserve">Genus portion of the scientific name</t>
  </si>
  <si>
    <t xml:space="preserve">common_category</t>
  </si>
  <si>
    <t xml:space="preserve">Broad indoor relevance grouping</t>
  </si>
  <si>
    <t xml:space="preserve">primary_color</t>
  </si>
  <si>
    <t xml:space="preserve">Typical dominant colony color observed visually</t>
  </si>
  <si>
    <t xml:space="preserve">secondary_color</t>
  </si>
  <si>
    <t xml:space="preserve">Secondary or maturing color</t>
  </si>
  <si>
    <t xml:space="preserve">texture</t>
  </si>
  <si>
    <t xml:space="preserve">Surface look such as powdery, velvety, slimy, cottony</t>
  </si>
  <si>
    <t xml:space="preserve">growth_pattern</t>
  </si>
  <si>
    <t xml:space="preserve">Typical macro colony form or spread pattern</t>
  </si>
  <si>
    <t xml:space="preserve">common_materials</t>
  </si>
  <si>
    <t xml:space="preserve">Materials where growth is commonly observed</t>
  </si>
  <si>
    <t xml:space="preserve">common_locations</t>
  </si>
  <si>
    <t xml:space="preserve">Typical indoor locations</t>
  </si>
  <si>
    <t xml:space="preserve">water damaged walls</t>
  </si>
  <si>
    <t xml:space="preserve">moisture_requirement</t>
  </si>
  <si>
    <t xml:space="preserve">Low, low-to-moderate, moderate, moderate-to-high, or high moisture need</t>
  </si>
  <si>
    <t xml:space="preserve">humidity_threshold_percent</t>
  </si>
  <si>
    <t xml:space="preserve">Rule-of-thumb RH threshold</t>
  </si>
  <si>
    <t xml:space="preserve">temperature_range_c</t>
  </si>
  <si>
    <t xml:space="preserve">Typical growth temperature range in Celsius</t>
  </si>
  <si>
    <t xml:space="preserve">porous_surface_growth</t>
  </si>
  <si>
    <t xml:space="preserve">Whether colonization is common on porous materials</t>
  </si>
  <si>
    <t xml:space="preserve">non_porous_surface_growth</t>
  </si>
  <si>
    <t xml:space="preserve">Whether growth can occur on dirty hard surfaces</t>
  </si>
  <si>
    <t xml:space="preserve">health_risk_category</t>
  </si>
  <si>
    <t xml:space="preserve">Practical indoor risk flag, not medical advice</t>
  </si>
  <si>
    <t xml:space="preserve">known_mycotoxin_producer</t>
  </si>
  <si>
    <t xml:space="preserve">Whether toxin production is reported for some strains</t>
  </si>
  <si>
    <t xml:space="preserve">remediation_guidance</t>
  </si>
  <si>
    <t xml:space="preserve">Simplified cleanup/removal guidance</t>
  </si>
  <si>
    <t xml:space="preserve">ai_visual_tags</t>
  </si>
  <si>
    <t xml:space="preserve">Training tags for computer vision labeling</t>
  </si>
  <si>
    <t xml:space="preserve">black_colony, slimy_texture</t>
  </si>
  <si>
    <t xml:space="preserve">background_spore_presence</t>
  </si>
  <si>
    <t xml:space="preserve">Conceptual rule: a normal indoor environment still contains some mold spores.</t>
  </si>
  <si>
    <t xml:space="preserve">normal background spores</t>
  </si>
  <si>
    <t xml:space="preserve">elevated_indoor_spore_level</t>
  </si>
  <si>
    <t xml:space="preserve">Indoor spore level meaningfully above comparison/background levels.</t>
  </si>
  <si>
    <t xml:space="preserve">indoor amplification</t>
  </si>
  <si>
    <t xml:space="preserve">active_colony_growth</t>
  </si>
  <si>
    <t xml:space="preserve">Visible mold growth on a substrate, especially with moisture context.</t>
  </si>
  <si>
    <t xml:space="preserve">patchy colony on wet drywall</t>
  </si>
  <si>
    <t xml:space="preserve">porous_vs_non_porous_logic</t>
  </si>
  <si>
    <t xml:space="preserve">Guidance that mold commonly colonizes porous materials; on hard surfaces it often grows on residue.</t>
  </si>
  <si>
    <t xml:space="preserve">tile with soap film</t>
  </si>
  <si>
    <t xml:space="preserve">New v4 sheets</t>
  </si>
  <si>
    <t xml:space="preserve">AI Decision Tree</t>
  </si>
  <si>
    <t xml:space="preserve">Decision path guiding app outputs from screening through escalation</t>
  </si>
  <si>
    <t xml:space="preserve">Moisture -&gt; colony texture -&gt; substrate -&gt; output class</t>
  </si>
  <si>
    <t xml:space="preserve">Risk Scoring Model</t>
  </si>
  <si>
    <t xml:space="preserve">Weighted scoring framework that converts visual/context clues into a normalized risk band</t>
  </si>
  <si>
    <t xml:space="preserve">Visible moisture score 4, porous substrate score 5</t>
  </si>
  <si>
    <t xml:space="preserve">Inspection Language</t>
  </si>
  <si>
    <t xml:space="preserve">Audience-specific wording library for homeowners vs professionals</t>
  </si>
  <si>
    <t xml:space="preserve">Homeowner: cautious education; Professional: report-ready framing</t>
  </si>
  <si>
    <t xml:space="preserve">New v5 sheets</t>
  </si>
  <si>
    <t xml:space="preserve">Moisture Source Classification</t>
  </si>
  <si>
    <t xml:space="preserve">Reference table linking visible patterns to likely moisture causes and follow-up steps</t>
  </si>
  <si>
    <t xml:space="preserve">Use to infer plumbing vs roof vs HVAC vs condensation vs crawlspace</t>
  </si>
  <si>
    <t xml:space="preserve">Room Inspection Logic</t>
  </si>
  <si>
    <t xml:space="preserve">Room-specific inspection priorities, false positives, and next-step guidance</t>
  </si>
  <si>
    <t xml:space="preserve">Bathroom spotting and attic staining require different logic</t>
  </si>
  <si>
    <t xml:space="preserve">Remediation Framework</t>
  </si>
  <si>
    <t xml:space="preserve">Monitor/clean/inspect/escalate pathways based on severity, substrate, and recurrence</t>
  </si>
  <si>
    <t xml:space="preserve">Supports app workflow and messaging</t>
  </si>
  <si>
    <t xml:space="preserve">Image Label Taxonomy</t>
  </si>
  <si>
    <t xml:space="preserve">Controlled labels for training image annotations and downstream AI outputs</t>
  </si>
  <si>
    <t xml:space="preserve">Creates consistent annotation fields for computer vision</t>
  </si>
  <si>
    <t xml:space="preserve">Training Annotation Template</t>
  </si>
  <si>
    <t xml:space="preserve">Example row structure with helper formulas for data-labeling workflows</t>
  </si>
  <si>
    <t xml:space="preserve">Can be handed to annotators or developers as a starter schema</t>
  </si>
  <si>
    <t xml:space="preserve">Lab Interpretation Rules</t>
  </si>
  <si>
    <t xml:space="preserve">Condenses lab-report logic for air cassettes, background density, direct ID interpretation, and AI-safe cautions</t>
  </si>
  <si>
    <t xml:space="preserve">Supports scoring and user messaging</t>
  </si>
  <si>
    <t xml:space="preserve">Lab Sample Examples</t>
  </si>
  <si>
    <t xml:space="preserve">Example air and direct-ID results structured as rows for training or QA</t>
  </si>
  <si>
    <t xml:space="preserve">Exterior baseline vs interior comparison and direct-ID abundance examples</t>
  </si>
  <si>
    <t xml:space="preserve">scenario_id</t>
  </si>
  <si>
    <t xml:space="preserve">Unique scenario key used to test scoring engine and output logic.</t>
  </si>
  <si>
    <t xml:space="preserve">SCN-001</t>
  </si>
  <si>
    <t xml:space="preserve">indoor_outdoor_ratio</t>
  </si>
  <si>
    <t xml:space="preserve">Indoor spores/m3 divided by outdoor spores/m3 for the same or nearest comparable group.</t>
  </si>
  <si>
    <t xml:space="preserve">1.9x</t>
  </si>
  <si>
    <t xml:space="preserve">risk_band</t>
  </si>
  <si>
    <t xml:space="preserve">Human-readable bucket produced by scoring engine.</t>
  </si>
  <si>
    <t xml:space="preserve">Elevated</t>
  </si>
  <si>
    <t xml:space="preserve">recommended_action</t>
  </si>
  <si>
    <t xml:space="preserve">Suggested next step based on score and rule checks.</t>
  </si>
  <si>
    <t xml:space="preserve">Professional inspection</t>
  </si>
  <si>
    <t xml:space="preserve">visual_group</t>
  </si>
  <si>
    <t xml:space="preserve">Grouped AI-safe label when species-level precision is not justified visually.</t>
  </si>
  <si>
    <t xml:space="preserve">Aspergillus/Penicillium</t>
  </si>
  <si>
    <t xml:space="preserve">water_damage_indicator</t>
  </si>
  <si>
    <t xml:space="preserve">Relative value describing how strongly a mold suggests chronic moisture or wet cellulose.</t>
  </si>
  <si>
    <t xml:space="preserve">High</t>
  </si>
  <si>
    <t xml:space="preserve">Core Mold Logic for Home Health AI / Inspector Gnome</t>
  </si>
  <si>
    <t xml:space="preserve">Important principle: all homes have some mold spores. Concern increases when indoor spore levels are elevated versus normal background and/or when active colonies are growing.</t>
  </si>
  <si>
    <t xml:space="preserve">rule_id</t>
  </si>
  <si>
    <t xml:space="preserve">rule_name</t>
  </si>
  <si>
    <t xml:space="preserve">logic_statement</t>
  </si>
  <si>
    <t xml:space="preserve">why_it_matters</t>
  </si>
  <si>
    <t xml:space="preserve">ML-01</t>
  </si>
  <si>
    <t xml:space="preserve">Background spores are normal</t>
  </si>
  <si>
    <t xml:space="preserve">All homes and buildings contain background mold spores. Spore presence alone does not equal contamination.</t>
  </si>
  <si>
    <t xml:space="preserve">Prevents false alarms from normal background ecology.</t>
  </si>
  <si>
    <t xml:space="preserve">ML-02</t>
  </si>
  <si>
    <t xml:space="preserve">Elevated spores matter</t>
  </si>
  <si>
    <t xml:space="preserve">The concern is elevated indoor spore levels, especially when indoor air is meaningfully higher than outdoor/background comparison.</t>
  </si>
  <si>
    <t xml:space="preserve">Helps distinguish normal conditions from likely indoor amplification.</t>
  </si>
  <si>
    <t xml:space="preserve">ML-03</t>
  </si>
  <si>
    <t xml:space="preserve">Active colony growth is a problem</t>
  </si>
  <si>
    <t xml:space="preserve">Visible mold growth or colonization is more important than simple spore presence.</t>
  </si>
  <si>
    <t xml:space="preserve">Colonies indicate moisture plus a growth substrate.</t>
  </si>
  <si>
    <t xml:space="preserve">ML-04</t>
  </si>
  <si>
    <t xml:space="preserve">Moisture drives amplification</t>
  </si>
  <si>
    <t xml:space="preserve">Mold problems require moisture, a food source, and time.</t>
  </si>
  <si>
    <t xml:space="preserve">Focuses the AI on leaks, condensation, and chronic dampness.</t>
  </si>
  <si>
    <t xml:space="preserve">ML-05</t>
  </si>
  <si>
    <t xml:space="preserve">Porous materials support colonization</t>
  </si>
  <si>
    <t xml:space="preserve">Drywall, carpet, insulation, ceiling tile, paper, and wood are common indoor growth substrates.</t>
  </si>
  <si>
    <t xml:space="preserve">Improves material-aware risk scoring.</t>
  </si>
  <si>
    <t xml:space="preserve">ML-06</t>
  </si>
  <si>
    <t xml:space="preserve">Non-porous surfaces usually host residue growth</t>
  </si>
  <si>
    <t xml:space="preserve">When mold appears on glass, tile, metal, or plastic, it is often growing on dust, soap film, or organic residue rather than the surface itself.</t>
  </si>
  <si>
    <t xml:space="preserve">Improves explanation quality and cleaning guidance.</t>
  </si>
  <si>
    <t xml:space="preserve">ML-07</t>
  </si>
  <si>
    <t xml:space="preserve">Single-species dominance can signal a source</t>
  </si>
  <si>
    <t xml:space="preserve">A strongly dominant indoor genus/species compared with background may indicate an indoor growth reservoir.</t>
  </si>
  <si>
    <t xml:space="preserve">Useful for interpretation of air-sampling patterns.</t>
  </si>
  <si>
    <t xml:space="preserve">ML-08</t>
  </si>
  <si>
    <t xml:space="preserve">Visual evidence should be tied to moisture context</t>
  </si>
  <si>
    <t xml:space="preserve">Water stains, bubbling paint, fuzzy edges, and patch growth near wet zones raise confidence of active colonization.</t>
  </si>
  <si>
    <t xml:space="preserve">Supports early visual detection rules.</t>
  </si>
  <si>
    <t xml:space="preserve">ML-09</t>
  </si>
  <si>
    <t xml:space="preserve">Diagnosis should be framed carefully</t>
  </si>
  <si>
    <t xml:space="preserve">AI should report possible active growth, elevated risk, or need for inspection—not claim medical or lab diagnosis from photos alone.</t>
  </si>
  <si>
    <t xml:space="preserve">Keeps output credible and safer for users.</t>
  </si>
  <si>
    <t xml:space="preserve">ML-10</t>
  </si>
  <si>
    <t xml:space="preserve">Remediation targets source control</t>
  </si>
  <si>
    <t xml:space="preserve">Successful cleanup requires moisture correction, source removal, and proper cleaning—not surface treatment alone.</t>
  </si>
  <si>
    <t xml:space="preserve">Prevents ineffective advice.</t>
  </si>
  <si>
    <t xml:space="preserve">scenario</t>
  </si>
  <si>
    <t xml:space="preserve">Normal background spores</t>
  </si>
  <si>
    <t xml:space="preserve">Possible indoor amplification</t>
  </si>
  <si>
    <t xml:space="preserve">Aspergillus/Penicillium notably higher indoors than outdoors</t>
  </si>
  <si>
    <t xml:space="preserve">Lower outdoor baseline</t>
  </si>
  <si>
    <t xml:space="preserve">Possible indoor source; inspect HVAC, wet wall cavities, and dust reservoirs.</t>
  </si>
  <si>
    <t xml:space="preserve">Visible colony on wet drywall</t>
  </si>
  <si>
    <t xml:space="preserve">Patchy/slimy/fuzzy colony near leak staining</t>
  </si>
  <si>
    <t xml:space="preserve">Outdoor comparison not needed for visual concern</t>
  </si>
  <si>
    <t xml:space="preserve">Active growth likely; correct moisture and remove contaminated porous material.</t>
  </si>
  <si>
    <t xml:space="preserve">Growth on tile or glass</t>
  </si>
  <si>
    <t xml:space="preserve">Visible spots on a hard surface with soap film or dust</t>
  </si>
  <si>
    <t xml:space="preserve">Outdoor comparison not needed for surface explanation</t>
  </si>
  <si>
    <t xml:space="preserve">Likely growth on residue, not the tile/glass itself; clean residue and control moisture.</t>
  </si>
  <si>
    <t xml:space="preserve">Home Health AI – AI Decision Tree</t>
  </si>
  <si>
    <t xml:space="preserve">Use this logic to decide whether the app should reassure, monitor, recommend inspection, or recommend remediation language.</t>
  </si>
  <si>
    <t xml:space="preserve">Step</t>
  </si>
  <si>
    <t xml:space="preserve">Decision Question</t>
  </si>
  <si>
    <t xml:space="preserve">If Yes</t>
  </si>
  <si>
    <t xml:space="preserve">If No</t>
  </si>
  <si>
    <t xml:space="preserve">AI Output Class</t>
  </si>
  <si>
    <t xml:space="preserve">Notes</t>
  </si>
  <si>
    <t xml:space="preserve">Is there a visible moisture indicator (stain, halo, sheen, bubbling, condensation)?</t>
  </si>
  <si>
    <t xml:space="preserve">Go to Step 2</t>
  </si>
  <si>
    <t xml:space="preserve">Go to Step 3</t>
  </si>
  <si>
    <t xml:space="preserve">Screening</t>
  </si>
  <si>
    <t xml:space="preserve">Moisture raises concern even before clear mold texture appears.</t>
  </si>
  <si>
    <t xml:space="preserve">Is there visible colony texture (fuzzy, powdery, slimy, patchy, irregular edge)?</t>
  </si>
  <si>
    <t xml:space="preserve">Go to Step 4</t>
  </si>
  <si>
    <t xml:space="preserve">Output = Moisture Concern</t>
  </si>
  <si>
    <t xml:space="preserve">Visual Triage</t>
  </si>
  <si>
    <t xml:space="preserve">Moisture without visible colony may still warrant monitoring or inspection.</t>
  </si>
  <si>
    <t xml:space="preserve">No obvious moisture. Is the area showing isolated light residue on a hard surface only?</t>
  </si>
  <si>
    <t xml:space="preserve">Output = Surface Residue / Monitor</t>
  </si>
  <si>
    <t xml:space="preserve">Output = Low Visual Evidence</t>
  </si>
  <si>
    <t xml:space="preserve">Reassure / Monitor</t>
  </si>
  <si>
    <t xml:space="preserve">Do not overcall contamination without moisture or growth indicators.</t>
  </si>
  <si>
    <t xml:space="preserve">Is the affected surface porous or cellulose-based (drywall, wood, carpet, ceiling tile, insulation)?</t>
  </si>
  <si>
    <t xml:space="preserve">Go to Step 5</t>
  </si>
  <si>
    <t xml:space="preserve">Go to Step 6</t>
  </si>
  <si>
    <t xml:space="preserve">Substrate Logic</t>
  </si>
  <si>
    <t xml:space="preserve">Active colonization is more significant on porous materials.</t>
  </si>
  <si>
    <t xml:space="preserve">Is the growth area larger than a small isolated spot OR recurring after cleaning?</t>
  </si>
  <si>
    <t xml:space="preserve">Output = Elevated Concern</t>
  </si>
  <si>
    <t xml:space="preserve">Go to Step 7</t>
  </si>
  <si>
    <t xml:space="preserve">Escalation</t>
  </si>
  <si>
    <t xml:space="preserve">Recurring growth suggests ongoing moisture or hidden amplification.</t>
  </si>
  <si>
    <t xml:space="preserve">On hard surface only: is dust, soap film, or organic residue likely present?</t>
  </si>
  <si>
    <t xml:space="preserve">Output = Residue-Supported Growth</t>
  </si>
  <si>
    <t xml:space="preserve">Output = Needs Human Review</t>
  </si>
  <si>
    <t xml:space="preserve">Surface Interpretation</t>
  </si>
  <si>
    <t xml:space="preserve">Mold may be feeding on residue, not the non-porous substrate itself.</t>
  </si>
  <si>
    <t xml:space="preserve">Are there multiple indicators together (moisture + colony + odor + recurring issue + occupant complaint)?</t>
  </si>
  <si>
    <t xml:space="preserve">Output = High Concern</t>
  </si>
  <si>
    <t xml:space="preserve">Output = Moderate Concern</t>
  </si>
  <si>
    <t xml:space="preserve">Risk Band</t>
  </si>
  <si>
    <t xml:space="preserve">Combined indicators should raise the model’s confidence and recommendation strength.</t>
  </si>
  <si>
    <t xml:space="preserve">Output Class</t>
  </si>
  <si>
    <t xml:space="preserve">Recommended App Response</t>
  </si>
  <si>
    <t xml:space="preserve">Confidence Direction</t>
  </si>
  <si>
    <t xml:space="preserve">Suggested CTA</t>
  </si>
  <si>
    <t xml:space="preserve">Low Visual Evidence</t>
  </si>
  <si>
    <t xml:space="preserve">No clear visual signs of active growth. Encourage moisture prevention and re-check if changes occur.</t>
  </si>
  <si>
    <t xml:space="preserve">Low</t>
  </si>
  <si>
    <t xml:space="preserve">Monitor and retake photos if area changes</t>
  </si>
  <si>
    <t xml:space="preserve">Surface Residue / Monitor</t>
  </si>
  <si>
    <t xml:space="preserve">Visible spotting may reflect residue or surface contamination rather than active colonization.</t>
  </si>
  <si>
    <t xml:space="preserve">Low–Moderate</t>
  </si>
  <si>
    <t xml:space="preserve">Clean residue, reduce humidity, observe recurrence</t>
  </si>
  <si>
    <t xml:space="preserve">Moisture Concern</t>
  </si>
  <si>
    <t xml:space="preserve">Visible moisture conditions can support future growth even if a colony is not clearly visible yet.</t>
  </si>
  <si>
    <t xml:space="preserve">Moderate</t>
  </si>
  <si>
    <t xml:space="preserve">Inspect leak or condensation source</t>
  </si>
  <si>
    <t xml:space="preserve">Residue-Supported Growth</t>
  </si>
  <si>
    <t xml:space="preserve">Visible growth may be occurring on dust, soap film, or organic buildup on a hard surface.</t>
  </si>
  <si>
    <t xml:space="preserve">Clean residue thoroughly and control moisture</t>
  </si>
  <si>
    <t xml:space="preserve">Moderate Concern</t>
  </si>
  <si>
    <t xml:space="preserve">Visible patterns are consistent with possible active growth and warrant closer inspection.</t>
  </si>
  <si>
    <t xml:space="preserve">Moderate–High</t>
  </si>
  <si>
    <t xml:space="preserve">Schedule targeted inspection</t>
  </si>
  <si>
    <t xml:space="preserve">Elevated Concern</t>
  </si>
  <si>
    <t xml:space="preserve">Patterns suggest likely active growth associated with moisture and a favorable substrate.</t>
  </si>
  <si>
    <t xml:space="preserve">Inspect promptly; consider limited containment precautions</t>
  </si>
  <si>
    <t xml:space="preserve">High Concern</t>
  </si>
  <si>
    <t xml:space="preserve">Multiple indicators strongly suggest active indoor amplification and/or ongoing colony growth.</t>
  </si>
  <si>
    <t xml:space="preserve">Professional inspection and moisture correction recommended</t>
  </si>
  <si>
    <t xml:space="preserve">Needs Human Review</t>
  </si>
  <si>
    <t xml:space="preserve">Image evidence is mixed or insufficient for a reliable classification.</t>
  </si>
  <si>
    <t xml:space="preserve">Variable</t>
  </si>
  <si>
    <t xml:space="preserve">Collect more images / in-person review</t>
  </si>
  <si>
    <t xml:space="preserve">Home Health AI – Weighted Risk Scoring Model</t>
  </si>
  <si>
    <t xml:space="preserve">Enter 0–5 scores in the blue cells. Formulas calculate weighted risk, confidence, and suggested inspection posture.</t>
  </si>
  <si>
    <t xml:space="preserve">Factor</t>
  </si>
  <si>
    <t xml:space="preserve">What it means</t>
  </si>
  <si>
    <t xml:space="preserve">Weight</t>
  </si>
  <si>
    <t xml:space="preserve">Input Score (0–5)</t>
  </si>
  <si>
    <t xml:space="preserve">Weighted Score</t>
  </si>
  <si>
    <t xml:space="preserve">Max Weighted</t>
  </si>
  <si>
    <t xml:space="preserve">Professional interpretation</t>
  </si>
  <si>
    <t xml:space="preserve">Comment</t>
  </si>
  <si>
    <t xml:space="preserve">Visible moisture</t>
  </si>
  <si>
    <t xml:space="preserve">Leaks, staining, halos, condensation, or wet sheen</t>
  </si>
  <si>
    <t xml:space="preserve">Higher moisture = stronger colonization potential</t>
  </si>
  <si>
    <t xml:space="preserve">Visible colony texture</t>
  </si>
  <si>
    <t xml:space="preserve">Fuzzy, powdery, slimy, patchy, irregular edge</t>
  </si>
  <si>
    <t xml:space="preserve">Texture is one of the strongest visual indicators</t>
  </si>
  <si>
    <t xml:space="preserve">Porous substrate</t>
  </si>
  <si>
    <t xml:space="preserve">Drywall, carpet, wood, insulation, ceiling tile</t>
  </si>
  <si>
    <t xml:space="preserve">Porous materials increase active-growth concern</t>
  </si>
  <si>
    <t xml:space="preserve">Area size / spread</t>
  </si>
  <si>
    <t xml:space="preserve">Larger or expanding growth footprint</t>
  </si>
  <si>
    <t xml:space="preserve">Bigger or spreading areas raise urgency</t>
  </si>
  <si>
    <t xml:space="preserve">Recurrence after cleaning</t>
  </si>
  <si>
    <t xml:space="preserve">Returns after wipe-down or prior treatment</t>
  </si>
  <si>
    <t xml:space="preserve">Recurrence suggests ongoing moisture or hidden source</t>
  </si>
  <si>
    <t xml:space="preserve">Odor / complaint signal</t>
  </si>
  <si>
    <t xml:space="preserve">Musty odor, respiratory complaint, occupant concern</t>
  </si>
  <si>
    <t xml:space="preserve">Supportive but not diagnostic on its own</t>
  </si>
  <si>
    <t xml:space="preserve">Indoor &gt; outdoor signal</t>
  </si>
  <si>
    <t xml:space="preserve">Air sample or field evidence suggests indoor amplification</t>
  </si>
  <si>
    <t xml:space="preserve">Useful when spore data exists</t>
  </si>
  <si>
    <t xml:space="preserve">Hard-surface residue only</t>
  </si>
  <si>
    <t xml:space="preserve">Spots only on tile/glass/metal with soap film or dust</t>
  </si>
  <si>
    <t xml:space="preserve">This should reduce the score when residue explains the image</t>
  </si>
  <si>
    <t xml:space="preserve">Total weighted score</t>
  </si>
  <si>
    <t xml:space="preserve">Scenario</t>
  </si>
  <si>
    <t xml:space="preserve">Sample score</t>
  </si>
  <si>
    <t xml:space="preserve">Interpretation</t>
  </si>
  <si>
    <t xml:space="preserve">Use case</t>
  </si>
  <si>
    <t xml:space="preserve">Maximum possible score</t>
  </si>
  <si>
    <t xml:space="preserve">Dry tile spotting only</t>
  </si>
  <si>
    <t xml:space="preserve">Low–Guarded</t>
  </si>
  <si>
    <t xml:space="preserve">Often residue-supported, especially without moisture source</t>
  </si>
  <si>
    <t xml:space="preserve">Bathroom hard surface</t>
  </si>
  <si>
    <t xml:space="preserve">Normalized risk %</t>
  </si>
  <si>
    <t xml:space="preserve">Wet drywall with texture lift</t>
  </si>
  <si>
    <t xml:space="preserve">Elevated–High</t>
  </si>
  <si>
    <t xml:space="preserve">Moisture plus porous material plus visible texture</t>
  </si>
  <si>
    <t xml:space="preserve">Leak-related room</t>
  </si>
  <si>
    <t xml:space="preserve">Risk band</t>
  </si>
  <si>
    <t xml:space="preserve">Musty odor + recurring closet spotting</t>
  </si>
  <si>
    <t xml:space="preserve">Recurring pattern raises suspicion of hidden source</t>
  </si>
  <si>
    <t xml:space="preserve">Closet or HVAC adjacent wall</t>
  </si>
  <si>
    <t xml:space="preserve">Suggested action</t>
  </si>
  <si>
    <t xml:space="preserve">No texture, no moisture, faint discoloration</t>
  </si>
  <si>
    <t xml:space="preserve">Visual evidence weak; monitor and retake images</t>
  </si>
  <si>
    <t xml:space="preserve">General screening</t>
  </si>
  <si>
    <t xml:space="preserve">Homeowner wording strength</t>
  </si>
  <si>
    <t xml:space="preserve">Professional wording strength</t>
  </si>
  <si>
    <t xml:space="preserve">Home Health AI – Inspection Language by Audience</t>
  </si>
  <si>
    <t xml:space="preserve">Separate homeowner language from professional language so the app stays accurate, calm, and credible.</t>
  </si>
  <si>
    <t xml:space="preserve">Situation</t>
  </si>
  <si>
    <t xml:space="preserve">Audience</t>
  </si>
  <si>
    <t xml:space="preserve">Recommended wording</t>
  </si>
  <si>
    <t xml:space="preserve">Avoid wording</t>
  </si>
  <si>
    <t xml:space="preserve">Purpose</t>
  </si>
  <si>
    <t xml:space="preserve">Example app message</t>
  </si>
  <si>
    <t xml:space="preserve">No clear evidence</t>
  </si>
  <si>
    <t xml:space="preserve">Homeowner</t>
  </si>
  <si>
    <t xml:space="preserve">No clear visual signs of active mold growth are visible in this image.</t>
  </si>
  <si>
    <t xml:space="preserve">You definitely do not have mold.</t>
  </si>
  <si>
    <t xml:space="preserve">Avoid false certainty</t>
  </si>
  <si>
    <t xml:space="preserve">We do not see strong visual evidence of active growth in this photo. Keep the area dry and recheck if it changes.</t>
  </si>
  <si>
    <t xml:space="preserve">Professional</t>
  </si>
  <si>
    <t xml:space="preserve">Image does not show strong visual indicators of active colonization at this time.</t>
  </si>
  <si>
    <t xml:space="preserve">No mold present.</t>
  </si>
  <si>
    <t xml:space="preserve">Preserve professional caution</t>
  </si>
  <si>
    <t xml:space="preserve">Visual evidence is limited; continue routine moisture control and reassess if conditions change.</t>
  </si>
  <si>
    <t xml:space="preserve">Hard surface spotting</t>
  </si>
  <si>
    <t xml:space="preserve">This pattern may be surface residue or growth supported by dust/soap film on a hard surface.</t>
  </si>
  <si>
    <t xml:space="preserve">The tile itself is moldy.</t>
  </si>
  <si>
    <t xml:space="preserve">Teach substrate logic</t>
  </si>
  <si>
    <t xml:space="preserve">These spots may be feeding on residue rather than the tile or glass itself. Clean thoroughly and reduce moisture.</t>
  </si>
  <si>
    <t xml:space="preserve">Appearance is consistent with residue-supported growth on a non-porous surface, pending site context.</t>
  </si>
  <si>
    <t xml:space="preserve">Confirmed colonization of non-porous substrate.</t>
  </si>
  <si>
    <t xml:space="preserve">Use precise technical framing</t>
  </si>
  <si>
    <t xml:space="preserve">Non-porous substrate involvement appears secondary to residue loading; confirm with field context.</t>
  </si>
  <si>
    <t xml:space="preserve">Moisture without visible colony</t>
  </si>
  <si>
    <t xml:space="preserve">Moisture conditions are present and may support future mold growth.</t>
  </si>
  <si>
    <t xml:space="preserve">There is mold here.</t>
  </si>
  <si>
    <t xml:space="preserve">Flag risk without overcalling</t>
  </si>
  <si>
    <t xml:space="preserve">We see moisture-related warning signs. Address the leak or humidity source and monitor for changes.</t>
  </si>
  <si>
    <t xml:space="preserve">Moisture indicators are present; visual evidence of active growth is not yet definitive.</t>
  </si>
  <si>
    <t xml:space="preserve">Active mold confirmed.</t>
  </si>
  <si>
    <t xml:space="preserve">Separate conditions from diagnosis</t>
  </si>
  <si>
    <t xml:space="preserve">Conditions are favorable for colonization; inspect source and monitor for progression.</t>
  </si>
  <si>
    <t xml:space="preserve">Possible active growth</t>
  </si>
  <si>
    <t xml:space="preserve">This image shows patterns that may be consistent with active mold growth.</t>
  </si>
  <si>
    <t xml:space="preserve">This is toxic mold.</t>
  </si>
  <si>
    <t xml:space="preserve">Maintain caution and avoid medical/legal overreach</t>
  </si>
  <si>
    <t xml:space="preserve">The visible texture and moisture pattern raise concern for active growth. A targeted inspection is recommended.</t>
  </si>
  <si>
    <t xml:space="preserve">Visual findings are consistent with possible active fungal colonization associated with moisture intrusion.</t>
  </si>
  <si>
    <t xml:space="preserve">Confirmed toxigenic contamination from image alone.</t>
  </si>
  <si>
    <t xml:space="preserve">Use report-ready wording</t>
  </si>
  <si>
    <t xml:space="preserve">Findings warrant site inspection, moisture mapping, and substrate evaluation.</t>
  </si>
  <si>
    <t xml:space="preserve">High concern / recurring issue</t>
  </si>
  <si>
    <t xml:space="preserve">Multiple warning signs suggest this issue should be inspected promptly by a qualified professional.</t>
  </si>
  <si>
    <t xml:space="preserve">Your house is unsafe.</t>
  </si>
  <si>
    <t xml:space="preserve">Create urgency without fear language</t>
  </si>
  <si>
    <t xml:space="preserve">Because the issue appears recurrent and moisture-related, professional inspection is recommended.</t>
  </si>
  <si>
    <t xml:space="preserve">Combined indicators raise concern for active amplification and a persistent moisture source.</t>
  </si>
  <si>
    <t xml:space="preserve">Building-wide contamination confirmed.</t>
  </si>
  <si>
    <t xml:space="preserve">Escalate appropriately</t>
  </si>
  <si>
    <t xml:space="preserve">Recommend moisture correction, source investigation, and remediation scope based on field findings.</t>
  </si>
  <si>
    <t xml:space="preserve">Home Health AI – Moisture Source Classification</t>
  </si>
  <si>
    <t xml:space="preserve">Use this sheet to classify likely moisture causes behind visible mold or moisture signatures. The AI should infer source likelihood, not overstate certainty.</t>
  </si>
  <si>
    <t xml:space="preserve">Source Type</t>
  </si>
  <si>
    <t xml:space="preserve">Typical Indicators</t>
  </si>
  <si>
    <t xml:space="preserve">Common Rooms</t>
  </si>
  <si>
    <t xml:space="preserve">Visual Clues</t>
  </si>
  <si>
    <t xml:space="preserve">Risk Pattern</t>
  </si>
  <si>
    <t xml:space="preserve">Likely Hidden?</t>
  </si>
  <si>
    <t xml:space="preserve">Suggested AI Output</t>
  </si>
  <si>
    <t xml:space="preserve">Professional Follow-up</t>
  </si>
  <si>
    <t xml:space="preserve">Plumbing leak</t>
  </si>
  <si>
    <t xml:space="preserve">Localized wetness, recurring moisture near supply/drain lines</t>
  </si>
  <si>
    <t xml:space="preserve">Bathrooms, kitchens, laundry, under sinks</t>
  </si>
  <si>
    <t xml:space="preserve">Cabinet base swelling, repeated spotting below fixtures, staining around penetrations</t>
  </si>
  <si>
    <t xml:space="preserve">Persistent if leak remains active</t>
  </si>
  <si>
    <t xml:space="preserve">Possible plumbing-related moisture source</t>
  </si>
  <si>
    <t xml:space="preserve">Inspect supply lines, traps, shutoffs, wall cavity if recurring</t>
  </si>
  <si>
    <t xml:space="preserve">Roof leak</t>
  </si>
  <si>
    <t xml:space="preserve">Ceiling/wall staining after rain, attic-side dampness</t>
  </si>
  <si>
    <t xml:space="preserve">Attics, upper ceilings, exterior-adjacent walls</t>
  </si>
  <si>
    <t xml:space="preserve">Brown/yellow halos, ceiling texture damage, vertical drip paths</t>
  </si>
  <si>
    <t xml:space="preserve">Can worsen seasonally</t>
  </si>
  <si>
    <t xml:space="preserve">Moderate-High</t>
  </si>
  <si>
    <t xml:space="preserve">Possible roof or flashing intrusion</t>
  </si>
  <si>
    <t xml:space="preserve">Inspect roof assembly, attic decking, penetrations, flashing</t>
  </si>
  <si>
    <t xml:space="preserve">HVAC condensation</t>
  </si>
  <si>
    <t xml:space="preserve">Growth around vents, air handler, drain pans, ducts</t>
  </si>
  <si>
    <t xml:space="preserve">Closets, mechanical rooms, ceilings near vents</t>
  </si>
  <si>
    <t xml:space="preserve">Black spotting near register boots, condensation sheen, rust marks</t>
  </si>
  <si>
    <t xml:space="preserve">Often chronic if drainage/insulation poor</t>
  </si>
  <si>
    <t xml:space="preserve">Possible HVAC condensation source</t>
  </si>
  <si>
    <t xml:space="preserve">Check drain pans, line clogs, duct insulation, humidity control</t>
  </si>
  <si>
    <t xml:space="preserve">Humidity / condensation</t>
  </si>
  <si>
    <t xml:space="preserve">Diffuse spotting on cool surfaces, windows, corners</t>
  </si>
  <si>
    <t xml:space="preserve">Bathrooms, bedrooms, exterior walls, closets</t>
  </si>
  <si>
    <t xml:space="preserve">Uniform spotting, window track moisture, cold-corner growth</t>
  </si>
  <si>
    <t xml:space="preserve">Often seasonal and room-wide</t>
  </si>
  <si>
    <t xml:space="preserve">High indoor humidity / condensation likely</t>
  </si>
  <si>
    <t xml:space="preserve">Check ventilation, RH, thermal bridging, occupant habits</t>
  </si>
  <si>
    <t xml:space="preserve">Ground / crawlspace moisture</t>
  </si>
  <si>
    <t xml:space="preserve">Lower-wall dampness, musty odor, subfloor concerns</t>
  </si>
  <si>
    <t xml:space="preserve">Crawlspaces, lower walls, first-floor closets</t>
  </si>
  <si>
    <t xml:space="preserve">Baseboard staining, floor-edge cupping, insulation discoloration</t>
  </si>
  <si>
    <t xml:space="preserve">Can spread broadly over time</t>
  </si>
  <si>
    <t xml:space="preserve">Possible ground moisture or crawlspace contribution</t>
  </si>
  <si>
    <t xml:space="preserve">Inspect vapor barrier, drainage, vents, subfloor moisture</t>
  </si>
  <si>
    <t xml:space="preserve">Flood / bulk water event</t>
  </si>
  <si>
    <t xml:space="preserve">Rapid wetting history, broad material impact</t>
  </si>
  <si>
    <t xml:space="preserve">Any room after intrusion</t>
  </si>
  <si>
    <t xml:space="preserve">Water line, warped materials, staining and debris patterns</t>
  </si>
  <si>
    <t xml:space="preserve">High acute risk</t>
  </si>
  <si>
    <t xml:space="preserve">Past bulk-water event may explain growth conditions</t>
  </si>
  <si>
    <t xml:space="preserve">Determine event history, material replacement scope, drying verification</t>
  </si>
  <si>
    <t xml:space="preserve">Window / envelope intrusion</t>
  </si>
  <si>
    <t xml:space="preserve">Localized staining below windows or exterior penetrations</t>
  </si>
  <si>
    <t xml:space="preserve">Bedrooms, living rooms, exterior-facing walls</t>
  </si>
  <si>
    <t xml:space="preserve">Streaking below sill, trim swelling, localized drywall discoloration</t>
  </si>
  <si>
    <t xml:space="preserve">May recur with weather</t>
  </si>
  <si>
    <t xml:space="preserve">Possible envelope or window intrusion</t>
  </si>
  <si>
    <t xml:space="preserve">Inspect sealants, flashing, cladding transitions</t>
  </si>
  <si>
    <t xml:space="preserve">Unknown / mixed</t>
  </si>
  <si>
    <t xml:space="preserve">Multiple possible indicators with weak source confidence</t>
  </si>
  <si>
    <t xml:space="preserve">Any</t>
  </si>
  <si>
    <t xml:space="preserve">Mixed evidence</t>
  </si>
  <si>
    <t xml:space="preserve">Needs contextual review</t>
  </si>
  <si>
    <t xml:space="preserve">Unknown</t>
  </si>
  <si>
    <t xml:space="preserve">Moisture source unclear from image alone</t>
  </si>
  <si>
    <t xml:space="preserve">Use site history, moisture mapping, and more images</t>
  </si>
  <si>
    <t xml:space="preserve">Home Health AI – Room-by-Room Inspection Logic</t>
  </si>
  <si>
    <t xml:space="preserve">Use this sheet to tailor AI recommendations to the room context. The same visual pattern can mean different things in a bathroom than in an attic or crawlspace.</t>
  </si>
  <si>
    <t xml:space="preserve">Room / Area</t>
  </si>
  <si>
    <t xml:space="preserve">Primary Risk Drivers</t>
  </si>
  <si>
    <t xml:space="preserve">High-Value Checkpoints</t>
  </si>
  <si>
    <t xml:space="preserve">Common False Positives</t>
  </si>
  <si>
    <t xml:space="preserve">Escalation Triggers</t>
  </si>
  <si>
    <t xml:space="preserve">Homeowner Language</t>
  </si>
  <si>
    <t xml:space="preserve">Professional Language</t>
  </si>
  <si>
    <t xml:space="preserve">Suggested Next Step</t>
  </si>
  <si>
    <t xml:space="preserve">Priority</t>
  </si>
  <si>
    <t xml:space="preserve">Bathroom</t>
  </si>
  <si>
    <t xml:space="preserve">Humidity, shower condensation, plumbing leaks</t>
  </si>
  <si>
    <t xml:space="preserve">Caulk lines, grout, vanity base, toilet seal area, exhaust fan performance</t>
  </si>
  <si>
    <t xml:space="preserve">Soap film, mildew on residue, cosmetic staining</t>
  </si>
  <si>
    <t xml:space="preserve">Recurring spotting, bubbling drywall, sub-sink moisture</t>
  </si>
  <si>
    <t xml:space="preserve">This area often has humidity-related spotting. Improve drying and check for leaks.</t>
  </si>
  <si>
    <t xml:space="preserve">Bathroom conditions favor condensation-related growth; evaluate ventilation and concealed plumbing.</t>
  </si>
  <si>
    <t xml:space="preserve">Check RH, fan, caulk/grout, plumbing under vanity</t>
  </si>
  <si>
    <t xml:space="preserve">Kitchen</t>
  </si>
  <si>
    <t xml:space="preserve">Sink leaks, dishwasher leaks, icemaker line, poor ventilation</t>
  </si>
  <si>
    <t xml:space="preserve">Under sink, behind dishwasher, refrigerator line, backsplash penetrations</t>
  </si>
  <si>
    <t xml:space="preserve">Food splatter, grease film, old staining</t>
  </si>
  <si>
    <t xml:space="preserve">Recurring cabinet-base swelling, odor, hidden leak history</t>
  </si>
  <si>
    <t xml:space="preserve">Kitchen moisture can come from plumbing or appliance lines. Recurring spots should be checked.</t>
  </si>
  <si>
    <t xml:space="preserve">Inspect for active or intermittent plumbing/appliance leaks and substrate impact.</t>
  </si>
  <si>
    <t xml:space="preserve">Inspect appliance lines and cabinet base; retake images after cleaning</t>
  </si>
  <si>
    <t xml:space="preserve">Laundry</t>
  </si>
  <si>
    <t xml:space="preserve">Washer hoses, drain overflow, dryer humidity</t>
  </si>
  <si>
    <t xml:space="preserve">Supply hoses, drain standpipe, behind washer, wall base</t>
  </si>
  <si>
    <t xml:space="preserve">Detergent residue, lint buildup</t>
  </si>
  <si>
    <t xml:space="preserve">Recurring dampness, floor edge damage, musty closet-like odor</t>
  </si>
  <si>
    <t xml:space="preserve">Laundry areas can stay damp from hoses or drainage problems.</t>
  </si>
  <si>
    <t xml:space="preserve">Assess intermittent discharge, hose integrity, drain overflow risk, and adjacent material wetting.</t>
  </si>
  <si>
    <t xml:space="preserve">Inspect hoses, drain line, pan, nearby drywall and flooring</t>
  </si>
  <si>
    <t xml:space="preserve">Bedroom</t>
  </si>
  <si>
    <t xml:space="preserve">Window condensation, exterior-wall intrusion, closet stagnation</t>
  </si>
  <si>
    <t xml:space="preserve">Window sills, exterior corners, closet walls</t>
  </si>
  <si>
    <t xml:space="preserve">Dust, scuffs, shadowing</t>
  </si>
  <si>
    <t xml:space="preserve">Cold-corner spotting, repeated window moisture, occupant complaint</t>
  </si>
  <si>
    <t xml:space="preserve">Bedrooms can collect condensation on cooler walls or around windows.</t>
  </si>
  <si>
    <t xml:space="preserve">Differentiate condensation patterns from envelope intrusion and evaluate closet airflow.</t>
  </si>
  <si>
    <t xml:space="preserve">Check windows, RH, airflow, exterior wall temperature</t>
  </si>
  <si>
    <t xml:space="preserve">Closet</t>
  </si>
  <si>
    <t xml:space="preserve">Low airflow, humidity, exterior wall cooling, hidden leaks</t>
  </si>
  <si>
    <t xml:space="preserve">Back walls, corners, ceiling-wall joints, adjacent plumbing walls</t>
  </si>
  <si>
    <t xml:space="preserve">Dust, fabric transfer, shelf scuffs</t>
  </si>
  <si>
    <t xml:space="preserve">Musty odor, recurring back-wall spotting, adjacent bathroom wall</t>
  </si>
  <si>
    <t xml:space="preserve">Closets can trap moisture because air does not move well.</t>
  </si>
  <si>
    <t xml:space="preserve">Low-airflow space with possible condensation or concealed wall-source contribution.</t>
  </si>
  <si>
    <t xml:space="preserve">Improve airflow; inspect adjacent wet walls if recurring</t>
  </si>
  <si>
    <t xml:space="preserve">Attic</t>
  </si>
  <si>
    <t xml:space="preserve">Roof intrusion, duct sweating, poor ventilation</t>
  </si>
  <si>
    <t xml:space="preserve">Roof decking, insulation, penetrations, duct boots</t>
  </si>
  <si>
    <t xml:space="preserve">Old staining, dirt, wood discoloration not microbial</t>
  </si>
  <si>
    <t xml:space="preserve">Fresh staining, wet decking, chronic vent-area growth</t>
  </si>
  <si>
    <t xml:space="preserve">Attic staining may relate to roof leaks or ventilation issues.</t>
  </si>
  <si>
    <t xml:space="preserve">Differentiate historic staining from active wetting; inspect decking moisture and ventilation balance.</t>
  </si>
  <si>
    <t xml:space="preserve">Inspect after rain if possible; check ducts and vents</t>
  </si>
  <si>
    <t xml:space="preserve">Crawlspace</t>
  </si>
  <si>
    <t xml:space="preserve">Ground moisture, vapor barrier failure, drainage</t>
  </si>
  <si>
    <t xml:space="preserve">Subfloor, joists, insulation, perimeter walls</t>
  </si>
  <si>
    <t xml:space="preserve">Soil staining, dirt, construction residue</t>
  </si>
  <si>
    <t xml:space="preserve">Musty odor, wood moisture, broad fungal growth pattern</t>
  </si>
  <si>
    <t xml:space="preserve">Crawlspaces can hold moisture from the ground for long periods.</t>
  </si>
  <si>
    <t xml:space="preserve">Assess vapor control, drainage, ventilation, and structural wood moisture.</t>
  </si>
  <si>
    <t xml:space="preserve">Inspect vapor barrier and wood moisture; consider professional crawlspace review</t>
  </si>
  <si>
    <t xml:space="preserve">HVAC / Mechanical</t>
  </si>
  <si>
    <t xml:space="preserve">Condensate leaks, drain pan issues, duct insulation</t>
  </si>
  <si>
    <t xml:space="preserve">Air handler, drain lines, plenums, nearby drywall</t>
  </si>
  <si>
    <t xml:space="preserve">Dust accumulation, rust, normal grime</t>
  </si>
  <si>
    <t xml:space="preserve">Repeated vent spotting, pan overflow, line clogs</t>
  </si>
  <si>
    <t xml:space="preserve">Mechanical areas can support growth when condensation is not draining correctly.</t>
  </si>
  <si>
    <t xml:space="preserve">Evaluate condensate management, insulation, and localized amplification near supply paths.</t>
  </si>
  <si>
    <t xml:space="preserve">Inspect drain pan, line, insulation, surrounding surfaces</t>
  </si>
  <si>
    <t xml:space="preserve">Home Health AI – Remediation Decision Framework</t>
  </si>
  <si>
    <t xml:space="preserve">This framework helps the app distinguish between monitor/clean/escalate pathways. It does not replace a field scope or standard of care.</t>
  </si>
  <si>
    <t xml:space="preserve">Visual Severity</t>
  </si>
  <si>
    <t xml:space="preserve">Substrate Type</t>
  </si>
  <si>
    <t xml:space="preserve">Moisture Status</t>
  </si>
  <si>
    <t xml:space="preserve">Recurrence</t>
  </si>
  <si>
    <t xml:space="preserve">Suggested Path</t>
  </si>
  <si>
    <t xml:space="preserve">Homeowner Message</t>
  </si>
  <si>
    <t xml:space="preserve">Professional Message</t>
  </si>
  <si>
    <t xml:space="preserve">Notes / Limits</t>
  </si>
  <si>
    <t xml:space="preserve">Light spotting on hard surface only</t>
  </si>
  <si>
    <t xml:space="preserve">Non-porous with residue</t>
  </si>
  <si>
    <t xml:space="preserve">No active wetness visible</t>
  </si>
  <si>
    <t xml:space="preserve">No</t>
  </si>
  <si>
    <t xml:space="preserve">Clean + monitor</t>
  </si>
  <si>
    <t xml:space="preserve">Clean the surface thoroughly and watch for return after moisture is controlled.</t>
  </si>
  <si>
    <t xml:space="preserve">Likely residue-supported growth; confirm no hidden moisture.</t>
  </si>
  <si>
    <t xml:space="preserve">Do not imply substrate colonization from image alone.</t>
  </si>
  <si>
    <t xml:space="preserve">Localized spotting on porous material</t>
  </si>
  <si>
    <t xml:space="preserve">Porous</t>
  </si>
  <si>
    <t xml:space="preserve">Possible or prior wetness</t>
  </si>
  <si>
    <t xml:space="preserve">Targeted inspection</t>
  </si>
  <si>
    <t xml:space="preserve">Visible patterns may reflect active growth on an absorbent material. A closer inspection is recommended.</t>
  </si>
  <si>
    <t xml:space="preserve">Possible active colonization on porous substrate; inspect source and extent.</t>
  </si>
  <si>
    <t xml:space="preserve">Porous materials raise concern even with small visible area.</t>
  </si>
  <si>
    <t xml:space="preserve">Recurring growth after cleaning</t>
  </si>
  <si>
    <t xml:space="preserve">Likely ongoing</t>
  </si>
  <si>
    <t xml:space="preserve">Yes</t>
  </si>
  <si>
    <t xml:space="preserve">Escalate to source investigation</t>
  </si>
  <si>
    <t xml:space="preserve">Because the issue keeps returning, the moisture source may still be present.</t>
  </si>
  <si>
    <t xml:space="preserve">Recurrence suggests unresolved moisture and possible concealed growth.</t>
  </si>
  <si>
    <t xml:space="preserve">Recurrence should materially raise model concern.</t>
  </si>
  <si>
    <t xml:space="preserve">Widespread growth + moisture evidence</t>
  </si>
  <si>
    <t xml:space="preserve">Porous or mixed</t>
  </si>
  <si>
    <t xml:space="preserve">Active or likely active</t>
  </si>
  <si>
    <t xml:space="preserve">Yes/Unknown</t>
  </si>
  <si>
    <t xml:space="preserve">Professional inspection / remediation-oriented pathway</t>
  </si>
  <si>
    <t xml:space="preserve">Multiple signs suggest a larger moisture-related issue that should be inspected promptly.</t>
  </si>
  <si>
    <t xml:space="preserve">Combined indicators raise concern for active amplification and remediation scoping.</t>
  </si>
  <si>
    <t xml:space="preserve">Avoid exact square-foot claims from image alone.</t>
  </si>
  <si>
    <t xml:space="preserve">Historic stain without current texture</t>
  </si>
  <si>
    <t xml:space="preserve">Low-Moderate</t>
  </si>
  <si>
    <t xml:space="preserve">No clear active wetness</t>
  </si>
  <si>
    <t xml:space="preserve">Monitor / verify history</t>
  </si>
  <si>
    <t xml:space="preserve">This may be older staining, but the area should be watched for changes or dampness.</t>
  </si>
  <si>
    <t xml:space="preserve">Historic impact possible; verify no current wetting or active colonization.</t>
  </si>
  <si>
    <t xml:space="preserve">Encourage follow-up images and history questions.</t>
  </si>
  <si>
    <t xml:space="preserve">HVAC vent spotting with condensation signs</t>
  </si>
  <si>
    <t xml:space="preserve">Mixed</t>
  </si>
  <si>
    <t xml:space="preserve">Likely active condensation</t>
  </si>
  <si>
    <t xml:space="preserve">Often recurring</t>
  </si>
  <si>
    <t xml:space="preserve">Inspect mechanical source</t>
  </si>
  <si>
    <t xml:space="preserve">This pattern may be related to condensation around the HVAC system.</t>
  </si>
  <si>
    <t xml:space="preserve">Evaluate drain, insulation, register boot, and nearby moisture conditions.</t>
  </si>
  <si>
    <t xml:space="preserve">Mechanical review often more important than surface cleaning alone.</t>
  </si>
  <si>
    <t xml:space="preserve">Home Health AI – Image Label Taxonomy</t>
  </si>
  <si>
    <t xml:space="preserve">Use consistent labels for training images so the model can learn visual features, room context, substrate logic, and recommendation pathways.</t>
  </si>
  <si>
    <t xml:space="preserve">Label Group</t>
  </si>
  <si>
    <t xml:space="preserve">Field Name</t>
  </si>
  <si>
    <t xml:space="preserve">Allowed Values / Examples</t>
  </si>
  <si>
    <t xml:space="preserve">Example Annotation</t>
  </si>
  <si>
    <t xml:space="preserve">Data Type</t>
  </si>
  <si>
    <t xml:space="preserve">Input or Derived</t>
  </si>
  <si>
    <t xml:space="preserve">AI Relevance</t>
  </si>
  <si>
    <t xml:space="preserve">Review Note</t>
  </si>
  <si>
    <t xml:space="preserve">Source / Context</t>
  </si>
  <si>
    <t xml:space="preserve">Image metadata</t>
  </si>
  <si>
    <t xml:space="preserve">image_id</t>
  </si>
  <si>
    <t xml:space="preserve">unique file ID</t>
  </si>
  <si>
    <t xml:space="preserve">Track image across model pipeline</t>
  </si>
  <si>
    <t xml:space="preserve">IMG_000123</t>
  </si>
  <si>
    <t xml:space="preserve">Text</t>
  </si>
  <si>
    <t xml:space="preserve">Input</t>
  </si>
  <si>
    <t xml:space="preserve">Required for joins</t>
  </si>
  <si>
    <t xml:space="preserve">upload system</t>
  </si>
  <si>
    <t xml:space="preserve">Scene context</t>
  </si>
  <si>
    <t xml:space="preserve">room_type</t>
  </si>
  <si>
    <t xml:space="preserve">bathroom, kitchen, attic, crawlspace, closet, bedroom, laundry, hvac</t>
  </si>
  <si>
    <t xml:space="preserve">Add environmental context</t>
  </si>
  <si>
    <t xml:space="preserve">bathroom</t>
  </si>
  <si>
    <t xml:space="preserve">Categorical</t>
  </si>
  <si>
    <t xml:space="preserve">Use controlled list</t>
  </si>
  <si>
    <t xml:space="preserve">annotator</t>
  </si>
  <si>
    <t xml:space="preserve">Substrate</t>
  </si>
  <si>
    <t xml:space="preserve">surface_type</t>
  </si>
  <si>
    <t xml:space="preserve">drywall, wood, carpet, insulation, tile, metal, glass, plastic</t>
  </si>
  <si>
    <t xml:space="preserve">Apply porous vs non-porous logic</t>
  </si>
  <si>
    <t xml:space="preserve">drywall</t>
  </si>
  <si>
    <t xml:space="preserve">Controlled vocabulary</t>
  </si>
  <si>
    <t xml:space="preserve">Moisture signal</t>
  </si>
  <si>
    <t xml:space="preserve">moisture_visible</t>
  </si>
  <si>
    <t xml:space="preserve">0/1</t>
  </si>
  <si>
    <t xml:space="preserve">Flag visible wetness or sheen</t>
  </si>
  <si>
    <t xml:space="preserve">1</t>
  </si>
  <si>
    <t xml:space="preserve">Binary</t>
  </si>
  <si>
    <t xml:space="preserve">Needs image evidence</t>
  </si>
  <si>
    <t xml:space="preserve">Visual feature</t>
  </si>
  <si>
    <t xml:space="preserve">texture_type</t>
  </si>
  <si>
    <t xml:space="preserve">fuzzy, powdery, slimy, dust-like, none</t>
  </si>
  <si>
    <t xml:space="preserve">Help classify colony type</t>
  </si>
  <si>
    <t xml:space="preserve">Use best-fit single label if needed</t>
  </si>
  <si>
    <t xml:space="preserve">edge_pattern</t>
  </si>
  <si>
    <t xml:space="preserve">circular, diffuse, irregular, linear, speckled</t>
  </si>
  <si>
    <t xml:space="preserve">Describe growth geometry</t>
  </si>
  <si>
    <t xml:space="preserve">Can be multi-label in future</t>
  </si>
  <si>
    <t xml:space="preserve">color_profile</t>
  </si>
  <si>
    <t xml:space="preserve">black, green, brown, gray, white, yellow, mixed</t>
  </si>
  <si>
    <t xml:space="preserve">Support CV learning</t>
  </si>
  <si>
    <t xml:space="preserve">mixed</t>
  </si>
  <si>
    <t xml:space="preserve">Medium-High</t>
  </si>
  <si>
    <t xml:space="preserve">Use dominant visible colors</t>
  </si>
  <si>
    <t xml:space="preserve">Coverage</t>
  </si>
  <si>
    <t xml:space="preserve">coverage_band</t>
  </si>
  <si>
    <t xml:space="preserve">trace, small, moderate, broad</t>
  </si>
  <si>
    <t xml:space="preserve">Approximate severity without exact area claim</t>
  </si>
  <si>
    <t xml:space="preserve">small</t>
  </si>
  <si>
    <t xml:space="preserve">Ordinal</t>
  </si>
  <si>
    <t xml:space="preserve">Derived</t>
  </si>
  <si>
    <t xml:space="preserve">Medium</t>
  </si>
  <si>
    <t xml:space="preserve">Avoid exact sqft from image</t>
  </si>
  <si>
    <t xml:space="preserve">model/annotator</t>
  </si>
  <si>
    <t xml:space="preserve">Source inference</t>
  </si>
  <si>
    <t xml:space="preserve">likely_source</t>
  </si>
  <si>
    <t xml:space="preserve">plumbing, roof, hvac, condensation, crawlspace, unknown</t>
  </si>
  <si>
    <t xml:space="preserve">Connect image to probable moisture cause</t>
  </si>
  <si>
    <t xml:space="preserve">condensation</t>
  </si>
  <si>
    <t xml:space="preserve">Inference only, not certainty</t>
  </si>
  <si>
    <t xml:space="preserve">model</t>
  </si>
  <si>
    <t xml:space="preserve">App output</t>
  </si>
  <si>
    <t xml:space="preserve">low, guarded, moderate, elevated, high</t>
  </si>
  <si>
    <t xml:space="preserve">Standardize response language</t>
  </si>
  <si>
    <t xml:space="preserve">Should align with scoring sheet</t>
  </si>
  <si>
    <t xml:space="preserve">next_step</t>
  </si>
  <si>
    <t xml:space="preserve">monitor, clean, inspect, escalate</t>
  </si>
  <si>
    <t xml:space="preserve">Power workflow and CTA</t>
  </si>
  <si>
    <t xml:space="preserve">inspect</t>
  </si>
  <si>
    <t xml:space="preserve">Map to decision tree</t>
  </si>
  <si>
    <t xml:space="preserve">Home Health AI – Training Annotation Template</t>
  </si>
  <si>
    <t xml:space="preserve">Fill blue cells for each training image. Derived columns calculate basic flags and route toward app output classes.</t>
  </si>
  <si>
    <t xml:space="preserve">moisture_visible (0/1)</t>
  </si>
  <si>
    <t xml:space="preserve">recurring_issue (0/1)</t>
  </si>
  <si>
    <t xml:space="preserve">odor_reported (0/1)</t>
  </si>
  <si>
    <t xml:space="preserve">derived_substrate_flag</t>
  </si>
  <si>
    <t xml:space="preserve">derived_attention_flag</t>
  </si>
  <si>
    <t xml:space="preserve">IMG_001</t>
  </si>
  <si>
    <t xml:space="preserve">tile</t>
  </si>
  <si>
    <t xml:space="preserve">speckled</t>
  </si>
  <si>
    <t xml:space="preserve">diffuse</t>
  </si>
  <si>
    <t xml:space="preserve">IMG_002</t>
  </si>
  <si>
    <t xml:space="preserve">closet</t>
  </si>
  <si>
    <t xml:space="preserve">unknown</t>
  </si>
  <si>
    <t xml:space="preserve">IMG_003</t>
  </si>
  <si>
    <t xml:space="preserve">hvac</t>
  </si>
  <si>
    <t xml:space="preserve">metal</t>
  </si>
  <si>
    <t xml:space="preserve">dust-like</t>
  </si>
  <si>
    <t xml:space="preserve">linear</t>
  </si>
  <si>
    <t xml:space="preserve">IMG_004</t>
  </si>
  <si>
    <t xml:space="preserve">attic</t>
  </si>
  <si>
    <t xml:space="preserve">wood</t>
  </si>
  <si>
    <t xml:space="preserve">roof</t>
  </si>
  <si>
    <t xml:space="preserve">Home Health AI – Lab Interpretation Rules</t>
  </si>
  <si>
    <t xml:space="preserve">Condensed rules from the uploaded lab report and interpretation guide for safer AI screening outputs.</t>
  </si>
  <si>
    <t xml:space="preserve">Section</t>
  </si>
  <si>
    <t xml:space="preserve">Topic</t>
  </si>
  <si>
    <t xml:space="preserve">Lab rule / interpretation</t>
  </si>
  <si>
    <t xml:space="preserve">AI implication</t>
  </si>
  <si>
    <t xml:space="preserve">Example app language</t>
  </si>
  <si>
    <t xml:space="preserve">Source file</t>
  </si>
  <si>
    <t xml:space="preserve">Air cassette logic</t>
  </si>
  <si>
    <t xml:space="preserve">Non-viable spore trap</t>
  </si>
  <si>
    <t xml:space="preserve">Air-O-Cell / spore-trap analysis identifies and counts airborne spores by microscopy; it does not culture viability.</t>
  </si>
  <si>
    <t xml:space="preserve">Do not claim a photo or air sample proves a live colony without context.</t>
  </si>
  <si>
    <t xml:space="preserve">Air data can suggest amplification, but viability and source confirmation may require more inspection.</t>
  </si>
  <si>
    <t xml:space="preserve">Lab Information.pdf</t>
  </si>
  <si>
    <t xml:space="preserve">Indoor vs outdoor comparison</t>
  </si>
  <si>
    <t xml:space="preserve">Indoor air is commonly interpreted against an exterior/baseline sample; elevated indoor counts and/or unusual dominance can suggest indoor amplification.</t>
  </si>
  <si>
    <t xml:space="preserve">Use comparison logic when air data exists; avoid calling contamination from a single raw number alone.</t>
  </si>
  <si>
    <t xml:space="preserve">Indoor levels above baseline can increase concern for indoor amplification.</t>
  </si>
  <si>
    <t xml:space="preserve">Count per m³</t>
  </si>
  <si>
    <t xml:space="preserve">Count per cubic meter is calculated from raw count adjusted for sampled air volume.</t>
  </si>
  <si>
    <t xml:space="preserve">Store both raw count and count/m³ when using lab examples or QA data.</t>
  </si>
  <si>
    <t xml:space="preserve">Standardized count/m³ helps compare samples collected at different volumes.</t>
  </si>
  <si>
    <t xml:space="preserve">21056763_Jaunich_20211020173423.pdf</t>
  </si>
  <si>
    <t xml:space="preserve">Background debris / density</t>
  </si>
  <si>
    <t xml:space="preserve">Higher debris can occlude small spores and make undercounting more likely.</t>
  </si>
  <si>
    <t xml:space="preserve">Lower AI confidence when lab notes show heavy background or visibility issues.</t>
  </si>
  <si>
    <t xml:space="preserve">Heavy background can hide smaller spores, so findings may under-represent the true load.</t>
  </si>
  <si>
    <t xml:space="preserve">Both uploaded PDFs</t>
  </si>
  <si>
    <t xml:space="preserve">Rain / humidity shift outdoor profile</t>
  </si>
  <si>
    <t xml:space="preserve">Rain or high humidity may depress some outdoor spores while increasing ascospores / basidiospores.</t>
  </si>
  <si>
    <t xml:space="preserve">Do not over-interpret a wet-day baseline without weather context.</t>
  </si>
  <si>
    <t xml:space="preserve">Weather can shift outdoor fungal profiles, especially ascospores and basidiospores.</t>
  </si>
  <si>
    <t xml:space="preserve">Water-damage thresholds</t>
  </si>
  <si>
    <t xml:space="preserve">High-moisture indicators</t>
  </si>
  <si>
    <t xml:space="preserve">Stachybotrys and Chaetomium are treated as strong water-damage indicators even at relatively low counts.</t>
  </si>
  <si>
    <t xml:space="preserve">Escalate concern when these appear with moisture evidence or porous substrates.</t>
  </si>
  <si>
    <t xml:space="preserve">Water-damage indicator molds deserve more attention even at lower counts.</t>
  </si>
  <si>
    <t xml:space="preserve">Grouping logic</t>
  </si>
  <si>
    <t xml:space="preserve">Aspergillus/Penicillium grouping</t>
  </si>
  <si>
    <t xml:space="preserve">Small round spores are often reported together on non-viable samples; similar-looking fungi can also fall in that grouped bucket.</t>
  </si>
  <si>
    <t xml:space="preserve">Use AI visual groups to avoid false precision from photos or non-viable microscopy.</t>
  </si>
  <si>
    <t xml:space="preserve">Some molds look too similar to separate confidently without reproductive structures.</t>
  </si>
  <si>
    <t xml:space="preserve">Direct ID logic</t>
  </si>
  <si>
    <t xml:space="preserve">Evidence-of-growth scale</t>
  </si>
  <si>
    <t xml:space="preserve">Direct-ID uses rare / light / moderate / heavy to estimate possible growth based on mycelia and conidiophores.</t>
  </si>
  <si>
    <t xml:space="preserve">Map this to confidence and next-step language instead of medical claims.</t>
  </si>
  <si>
    <t xml:space="preserve">Surface evidence can be described as limited, possible, probable, or significant growth.</t>
  </si>
  <si>
    <t xml:space="preserve">Safety framing</t>
  </si>
  <si>
    <t xml:space="preserve">Screening vs diagnosis</t>
  </si>
  <si>
    <t xml:space="preserve">Lab reports explicitly avoid declaring building safety from lab data alone.</t>
  </si>
  <si>
    <t xml:space="preserve">Keep the app in screening / triage mode, not medical or definitive diagnosis mode.</t>
  </si>
  <si>
    <t xml:space="preserve">This tool screens for concern and helps decide whether inspection is warranted.</t>
  </si>
  <si>
    <t xml:space="preserve">Background Density Scale</t>
  </si>
  <si>
    <t xml:space="preserve">Density</t>
  </si>
  <si>
    <t xml:space="preserve">Amount of particulate on slide</t>
  </si>
  <si>
    <t xml:space="preserve">Occlusion risk</t>
  </si>
  <si>
    <t xml:space="preserve">AI confidence adjustment</t>
  </si>
  <si>
    <t xml:space="preserve">Insignificant</t>
  </si>
  <si>
    <t xml:space="preserve">Should not skew counts</t>
  </si>
  <si>
    <t xml:space="preserve">Minimal</t>
  </si>
  <si>
    <t xml:space="preserve">No penalty</t>
  </si>
  <si>
    <t xml:space="preserve">1+</t>
  </si>
  <si>
    <t xml:space="preserve">2</t>
  </si>
  <si>
    <t xml:space="preserve">Low to moderate</t>
  </si>
  <si>
    <t xml:space="preserve">Small caution only</t>
  </si>
  <si>
    <t xml:space="preserve">2+</t>
  </si>
  <si>
    <t xml:space="preserve">Moderate to high</t>
  </si>
  <si>
    <t xml:space="preserve">May occlude small spores</t>
  </si>
  <si>
    <t xml:space="preserve">Lower confidence slightly</t>
  </si>
  <si>
    <t xml:space="preserve">3</t>
  </si>
  <si>
    <t xml:space="preserve">May occlude small to medium spores</t>
  </si>
  <si>
    <t xml:space="preserve">Lower confidence</t>
  </si>
  <si>
    <t xml:space="preserve">3+</t>
  </si>
  <si>
    <t xml:space="preserve">Very high</t>
  </si>
  <si>
    <t xml:space="preserve">Will occlude spores</t>
  </si>
  <si>
    <t xml:space="preserve">Strong confidence penalty</t>
  </si>
  <si>
    <t xml:space="preserve">4</t>
  </si>
  <si>
    <t xml:space="preserve">Overloaded</t>
  </si>
  <si>
    <t xml:space="preserve">Too much particulate to perform analysis</t>
  </si>
  <si>
    <t xml:space="preserve">Extreme</t>
  </si>
  <si>
    <t xml:space="preserve">Treat as unreadable / inconclusive</t>
  </si>
  <si>
    <t xml:space="preserve">Direct ID Evidence-of-Growth Scale</t>
  </si>
  <si>
    <t xml:space="preserve">Estimated amount</t>
  </si>
  <si>
    <t xml:space="preserve">Growth indication</t>
  </si>
  <si>
    <t xml:space="preserve">Evidence on sample</t>
  </si>
  <si>
    <t xml:space="preserve">Suggested app wording</t>
  </si>
  <si>
    <t xml:space="preserve">Escalation posture</t>
  </si>
  <si>
    <t xml:space="preserve">Rare</t>
  </si>
  <si>
    <t xml:space="preserve">Not likely</t>
  </si>
  <si>
    <t xml:space="preserve">No associated mycelial fragments / conidiophores</t>
  </si>
  <si>
    <t xml:space="preserve">Trace evidence only; below clear contamination level</t>
  </si>
  <si>
    <t xml:space="preserve">Monitor / inspect if recurring</t>
  </si>
  <si>
    <t xml:space="preserve">Light</t>
  </si>
  <si>
    <t xml:space="preserve">Possible</t>
  </si>
  <si>
    <t xml:space="preserve">Some evidence, about 10–25% of tape covered</t>
  </si>
  <si>
    <t xml:space="preserve">Recommend closer inspection</t>
  </si>
  <si>
    <t xml:space="preserve">Probable</t>
  </si>
  <si>
    <t xml:space="preserve">Abundant evidence, about 25–50% of tape covered</t>
  </si>
  <si>
    <t xml:space="preserve">Probable active growth</t>
  </si>
  <si>
    <t xml:space="preserve">Professional inspection / remediation discussion</t>
  </si>
  <si>
    <t xml:space="preserve">Heavy</t>
  </si>
  <si>
    <t xml:space="preserve">Significant</t>
  </si>
  <si>
    <t xml:space="preserve">Throughout sample, about 50–100% covered</t>
  </si>
  <si>
    <t xml:space="preserve">Significant active growth likely</t>
  </si>
  <si>
    <t xml:space="preserve">Escalate strongly</t>
  </si>
  <si>
    <t xml:space="preserve">Home Health AI – Lab Sample Examples</t>
  </si>
  <si>
    <t xml:space="preserve">Structured examples from uploaded SanAir and AEMTEK reports for AI QA, messaging tests, and baseline-vs-interior interpretation.</t>
  </si>
  <si>
    <t xml:space="preserve">Air Sample Example Rows</t>
  </si>
  <si>
    <t xml:space="preserve">sample_id</t>
  </si>
  <si>
    <t xml:space="preserve">sample_location</t>
  </si>
  <si>
    <t xml:space="preserve">sample_type</t>
  </si>
  <si>
    <t xml:space="preserve">volume_l</t>
  </si>
  <si>
    <t xml:space="preserve">background_density</t>
  </si>
  <si>
    <t xml:space="preserve">organism</t>
  </si>
  <si>
    <t xml:space="preserve">raw_count</t>
  </si>
  <si>
    <t xml:space="preserve">count_per_m3</t>
  </si>
  <si>
    <t xml:space="preserve">percent_of_total</t>
  </si>
  <si>
    <t xml:space="preserve">ai_interpretation_note</t>
  </si>
  <si>
    <t xml:space="preserve">21056763-001</t>
  </si>
  <si>
    <t xml:space="preserve">Exterior</t>
  </si>
  <si>
    <t xml:space="preserve">Air-O-Cell</t>
  </si>
  <si>
    <t xml:space="preserve">Alternaria species</t>
  </si>
  <si>
    <t xml:space="preserve">&lt;1%</t>
  </si>
  <si>
    <t xml:space="preserve">Exterior baseline outdoor-type detection</t>
  </si>
  <si>
    <t xml:space="preserve">Ascospores</t>
  </si>
  <si>
    <t xml:space="preserve">99%</t>
  </si>
  <si>
    <t xml:space="preserve">Exterior baseline dominated by ascospores</t>
  </si>
  <si>
    <t xml:space="preserve">Chaetomium species</t>
  </si>
  <si>
    <t xml:space="preserve">Low-count water-damage indicator outdoors</t>
  </si>
  <si>
    <t xml:space="preserve">Cladosporium species</t>
  </si>
  <si>
    <t xml:space="preserve">Common outdoor allergen baseline</t>
  </si>
  <si>
    <t xml:space="preserve">Non-specified spore</t>
  </si>
  <si>
    <t xml:space="preserve">Unspecified trace morphology</t>
  </si>
  <si>
    <t xml:space="preserve">21056763-002</t>
  </si>
  <si>
    <t xml:space="preserve">Entry</t>
  </si>
  <si>
    <t xml:space="preserve">Trace indoor alternaria</t>
  </si>
  <si>
    <t xml:space="preserve">Very low ascospores indoors</t>
  </si>
  <si>
    <t xml:space="preserve">Basidiospores</t>
  </si>
  <si>
    <t xml:space="preserve">&gt;12000</t>
  </si>
  <si>
    <t xml:space="preserve">&gt;160000</t>
  </si>
  <si>
    <t xml:space="preserve">&gt;99%</t>
  </si>
  <si>
    <t xml:space="preserve">Heavy indoor basidiospore dominance with very high background</t>
  </si>
  <si>
    <t xml:space="preserve">Trace cladosporium indoors</t>
  </si>
  <si>
    <t xml:space="preserve">21056763-003</t>
  </si>
  <si>
    <t xml:space="preserve">TV Area</t>
  </si>
  <si>
    <t xml:space="preserve">Direct ID Example Rows</t>
  </si>
  <si>
    <t xml:space="preserve">sample_material_type</t>
  </si>
  <si>
    <t xml:space="preserve">organism_group</t>
  </si>
  <si>
    <t xml:space="preserve">estimated_amount</t>
  </si>
  <si>
    <t xml:space="preserve">growth_indication</t>
  </si>
  <si>
    <t xml:space="preserve">evidence_note</t>
  </si>
  <si>
    <t xml:space="preserve">source_file</t>
  </si>
  <si>
    <t xml:space="preserve">project_name</t>
  </si>
  <si>
    <t xml:space="preserve">21056763-004</t>
  </si>
  <si>
    <t xml:space="preserve">Exterior Side</t>
  </si>
  <si>
    <t xml:space="preserve">Bulk material</t>
  </si>
  <si>
    <t xml:space="preserve">No clear mycelial / conidiophore evidence threshold</t>
  </si>
  <si>
    <t xml:space="preserve">Trace fungal evidence on bulk material</t>
  </si>
  <si>
    <t xml:space="preserve">Jaunich</t>
  </si>
  <si>
    <t xml:space="preserve">Abundant evidence range</t>
  </si>
  <si>
    <t xml:space="preserve">Probable growth evidence on sampled material</t>
  </si>
  <si>
    <t xml:space="preserve">21056763-005</t>
  </si>
  <si>
    <t xml:space="preserve">Wall At Beam</t>
  </si>
  <si>
    <t xml:space="preserve">Some evidence range</t>
  </si>
  <si>
    <t xml:space="preserve">Possible growth on bulk sample from beam area</t>
  </si>
  <si>
    <t xml:space="preserve">21056763-006</t>
  </si>
  <si>
    <t xml:space="preserve">Beam Inside</t>
  </si>
  <si>
    <t xml:space="preserve">Throughout sample</t>
  </si>
  <si>
    <t xml:space="preserve">Significant growth evidence on beam sample</t>
  </si>
  <si>
    <t xml:space="preserve">21056763-007</t>
  </si>
  <si>
    <t xml:space="preserve">Window</t>
  </si>
  <si>
    <t xml:space="preserve">Probable growth evidence on window sample</t>
  </si>
  <si>
    <t xml:space="preserve">Trace cladosporium evidence on window sample</t>
  </si>
  <si>
    <t xml:space="preserve">AEMTEK Air Sample Example Rows</t>
  </si>
  <si>
    <t xml:space="preserve">23671241</t>
  </si>
  <si>
    <t xml:space="preserve">Downstairs Bedroom</t>
  </si>
  <si>
    <t xml:space="preserve">Spore Slit Impaction Cassette</t>
  </si>
  <si>
    <t xml:space="preserve">26-50%</t>
  </si>
  <si>
    <t xml:space="preserve">44%</t>
  </si>
  <si>
    <t xml:space="preserve">Indoor dominant genus but still below total outdoor load</t>
  </si>
  <si>
    <t xml:space="preserve">23671140</t>
  </si>
  <si>
    <t xml:space="preserve">Downstairs Bathroom</t>
  </si>
  <si>
    <t xml:space="preserve">51-75%</t>
  </si>
  <si>
    <t xml:space="preserve">25%</t>
  </si>
  <si>
    <t xml:space="preserve">Bathroom A/P-like is higher than outdoor A/P-like and merits concern</t>
  </si>
  <si>
    <t xml:space="preserve">3%</t>
  </si>
  <si>
    <t xml:space="preserve">Even low Stachybotrys counts indoors should elevate caution</t>
  </si>
  <si>
    <t xml:space="preserve">23671229</t>
  </si>
  <si>
    <t xml:space="preserve">Outside (ambient)</t>
  </si>
  <si>
    <t xml:space="preserve">22%</t>
  </si>
  <si>
    <t xml:space="preserve">Outdoor baseline reference</t>
  </si>
  <si>
    <t xml:space="preserve">Home Health AI – Control Center</t>
  </si>
  <si>
    <t xml:space="preserve">Editable scenarios for testing the scoring engine and app logic.</t>
  </si>
  <si>
    <t xml:space="preserve">scenario_name</t>
  </si>
  <si>
    <t xml:space="preserve">indoor_total_spores_m3</t>
  </si>
  <si>
    <t xml:space="preserve">outdoor_total_spores_m3</t>
  </si>
  <si>
    <t xml:space="preserve">dominant_group</t>
  </si>
  <si>
    <t xml:space="preserve">marker_mold_present</t>
  </si>
  <si>
    <t xml:space="preserve">mycotoxin_producer_present</t>
  </si>
  <si>
    <t xml:space="preserve">visible_growth_present</t>
  </si>
  <si>
    <t xml:space="preserve">porous_material_wet</t>
  </si>
  <si>
    <t xml:space="preserve">humidity_percent</t>
  </si>
  <si>
    <t xml:space="preserve">occupant_sensitivity</t>
  </si>
  <si>
    <t xml:space="preserve">recommended_action_target</t>
  </si>
  <si>
    <t xml:space="preserve">Clean baseline interior</t>
  </si>
  <si>
    <t xml:space="preserve">Standard</t>
  </si>
  <si>
    <t xml:space="preserve">Monitor / educate</t>
  </si>
  <si>
    <t xml:space="preserve">SCN-002</t>
  </si>
  <si>
    <t xml:space="preserve">Possible bathroom amplification</t>
  </si>
  <si>
    <t xml:space="preserve">Sensitive</t>
  </si>
  <si>
    <t xml:space="preserve">SCN-003</t>
  </si>
  <si>
    <t xml:space="preserve">High concern water-damage pattern</t>
  </si>
  <si>
    <t xml:space="preserve">Basidiospores + water-damage indicators</t>
  </si>
  <si>
    <t xml:space="preserve">Contain + inspect</t>
  </si>
  <si>
    <t xml:space="preserve">SCN-004</t>
  </si>
  <si>
    <t xml:space="preserve">Humidity-driven but low visible concern</t>
  </si>
  <si>
    <t xml:space="preserve">Dry / monitor</t>
  </si>
  <si>
    <t xml:space="preserve">SCN-005</t>
  </si>
  <si>
    <t xml:space="preserve">Questionable photo-only colony</t>
  </si>
  <si>
    <t xml:space="preserve">Photo QA / schedule inspection</t>
  </si>
  <si>
    <t xml:space="preserve">Home Health AI – Real Lab Data Training</t>
  </si>
  <si>
    <t xml:space="preserve">Normalized rows from uploaded SanAir and AEMTEK reports for model calibration and QA.</t>
  </si>
  <si>
    <t xml:space="preserve">source_report</t>
  </si>
  <si>
    <t xml:space="preserve">report_id</t>
  </si>
  <si>
    <t xml:space="preserve">indoor_or_outdoor</t>
  </si>
  <si>
    <t xml:space="preserve">sample_method</t>
  </si>
  <si>
    <t xml:space="preserve">air_volume_l</t>
  </si>
  <si>
    <t xml:space="preserve">background_or_density</t>
  </si>
  <si>
    <t xml:space="preserve">temperature_f</t>
  </si>
  <si>
    <t xml:space="preserve">spore_type</t>
  </si>
  <si>
    <t xml:space="preserve">spores_per_m3</t>
  </si>
  <si>
    <t xml:space="preserve">ai_visual_group</t>
  </si>
  <si>
    <t xml:space="preserve">count_vs_outdoor_ratio</t>
  </si>
  <si>
    <t xml:space="preserve">rule_based_interpretation</t>
  </si>
  <si>
    <t xml:space="preserve">source_note</t>
  </si>
  <si>
    <t xml:space="preserve">SanAir</t>
  </si>
  <si>
    <t xml:space="preserve">21056763</t>
  </si>
  <si>
    <t xml:space="preserve">Outdoor</t>
  </si>
  <si>
    <t xml:space="preserve">Page 3 exterior baseline</t>
  </si>
  <si>
    <t xml:space="preserve">Page 3</t>
  </si>
  <si>
    <t xml:space="preserve">Low-count outdoor water-damage indicator</t>
  </si>
  <si>
    <t xml:space="preserve">Typical outdoor background genus</t>
  </si>
  <si>
    <t xml:space="preserve">Indoor</t>
  </si>
  <si>
    <t xml:space="preserve">Trace indoor ascospores below baseline</t>
  </si>
  <si>
    <t xml:space="preserve">Indoor dominated by basidiospores with overloaded profile</t>
  </si>
  <si>
    <t xml:space="preserve">Page 3 estimated &gt;12,000 raw count</t>
  </si>
  <si>
    <t xml:space="preserve">Indoor cladosporium lower than outdoor baseline</t>
  </si>
  <si>
    <t xml:space="preserve">TV area sample overwhelmed by basidiospores</t>
  </si>
  <si>
    <t xml:space="preserve">Surface</t>
  </si>
  <si>
    <t xml:space="preserve">Bulk Material</t>
  </si>
  <si>
    <t xml:space="preserve">Direct ID: rare possible growth on bulk material</t>
  </si>
  <si>
    <t xml:space="preserve">Page 4</t>
  </si>
  <si>
    <t xml:space="preserve">Direct ID: light possible growth</t>
  </si>
  <si>
    <t xml:space="preserve">Direct ID: heavy probable/significant growth evidence</t>
  </si>
  <si>
    <t xml:space="preserve">Direct ID: rare visible growth evidence</t>
  </si>
  <si>
    <t xml:space="preserve">AEMTEK</t>
  </si>
  <si>
    <t xml:space="preserve">1701206</t>
  </si>
  <si>
    <t xml:space="preserve">Indoor A/P-like exceeds 50% of outdoor level</t>
  </si>
  <si>
    <t xml:space="preserve">Lab Results - 1701206.pdf</t>
  </si>
  <si>
    <t xml:space="preserve">Page 2 + chain of custody page 3</t>
  </si>
  <si>
    <t xml:space="preserve">31%</t>
  </si>
  <si>
    <t xml:space="preserve">Indoor cladosporium well below outdoor baseline</t>
  </si>
  <si>
    <t xml:space="preserve">Page 2</t>
  </si>
  <si>
    <t xml:space="preserve">Bathroom A/P-like almost 2x outdoor level</t>
  </si>
  <si>
    <t xml:space="preserve">Page 2 + page 3</t>
  </si>
  <si>
    <t xml:space="preserve">Low-count Stachybotrys indoors warrants high caution due to water-damage significance</t>
  </si>
  <si>
    <t xml:space="preserve">28%</t>
  </si>
  <si>
    <t xml:space="preserve">Bathroom cladosporium below outdoor baseline but still notable</t>
  </si>
  <si>
    <t xml:space="preserve">6%</t>
  </si>
  <si>
    <t xml:space="preserve">Outdoor reference for AEMTEK dataset</t>
  </si>
  <si>
    <t xml:space="preserve">Outdoor reference cladosporium baseline</t>
  </si>
  <si>
    <t xml:space="preserve">35%</t>
  </si>
  <si>
    <t xml:space="preserve">Outdoor baseline dominated by basidiospores</t>
  </si>
  <si>
    <t xml:space="preserve">Home Health AI – IAQ Scoring Engine</t>
  </si>
  <si>
    <t xml:space="preserve">Formula-driven scoring model combining spore load, ratio, markers, moisture, visibility, and occupant sensitivity.</t>
  </si>
  <si>
    <t xml:space="preserve">spore_load_score</t>
  </si>
  <si>
    <t xml:space="preserve">ratio_score</t>
  </si>
  <si>
    <t xml:space="preserve">marker_score</t>
  </si>
  <si>
    <t xml:space="preserve">mycotoxin_score</t>
  </si>
  <si>
    <t xml:space="preserve">visible_growth_score</t>
  </si>
  <si>
    <t xml:space="preserve">porous_wet_score</t>
  </si>
  <si>
    <t xml:space="preserve">humidity_score</t>
  </si>
  <si>
    <t xml:space="preserve">sensitivity_score</t>
  </si>
  <si>
    <t xml:space="preserve">total_risk_score</t>
  </si>
  <si>
    <t xml:space="preserve">Home Health AI – Field Input Template</t>
  </si>
  <si>
    <t xml:space="preserve">Suggested structured inputs for app upload, inspector workflow, or API payload generation.</t>
  </si>
  <si>
    <t xml:space="preserve">case_id</t>
  </si>
  <si>
    <t xml:space="preserve">photo_id</t>
  </si>
  <si>
    <t xml:space="preserve">room</t>
  </si>
  <si>
    <t xml:space="preserve">surface_material</t>
  </si>
  <si>
    <t xml:space="preserve">surface_porosity</t>
  </si>
  <si>
    <t xml:space="preserve">visible_color</t>
  </si>
  <si>
    <t xml:space="preserve">visible_texture</t>
  </si>
  <si>
    <t xml:space="preserve">estimated_area_sqft</t>
  </si>
  <si>
    <t xml:space="preserve">musty_odor</t>
  </si>
  <si>
    <t xml:space="preserve">recent_water_event</t>
  </si>
  <si>
    <t xml:space="preserve">occupant_symptoms_reported</t>
  </si>
  <si>
    <t xml:space="preserve">air_sample_available</t>
  </si>
  <si>
    <t xml:space="preserve">lab_sample_available</t>
  </si>
  <si>
    <t xml:space="preserve">ai_initial_label</t>
  </si>
  <si>
    <t xml:space="preserve">human_review_needed</t>
  </si>
  <si>
    <t xml:space="preserve">final_disposition</t>
  </si>
  <si>
    <t xml:space="preserve">notes</t>
  </si>
  <si>
    <t xml:space="preserve">CASE-001</t>
  </si>
  <si>
    <t xml:space="preserve">IMG-001</t>
  </si>
  <si>
    <t xml:space="preserve">Drywall</t>
  </si>
  <si>
    <t xml:space="preserve">Dark green/black</t>
  </si>
  <si>
    <t xml:space="preserve">Slimy</t>
  </si>
  <si>
    <t xml:space="preserve">Patchy</t>
  </si>
  <si>
    <t xml:space="preserve">Possible Stachybotrys-like</t>
  </si>
  <si>
    <t xml:space="preserve">Escalate to inspection</t>
  </si>
  <si>
    <t xml:space="preserve">Visible growth near shower wall</t>
  </si>
  <si>
    <t xml:space="preserve">CASE-002</t>
  </si>
  <si>
    <t xml:space="preserve">IMG-002</t>
  </si>
  <si>
    <t xml:space="preserve">Window sill</t>
  </si>
  <si>
    <t xml:space="preserve">Non-porous</t>
  </si>
  <si>
    <t xml:space="preserve">Olive green</t>
  </si>
  <si>
    <t xml:space="preserve">Velvety</t>
  </si>
  <si>
    <t xml:space="preserve">Linear</t>
  </si>
  <si>
    <t xml:space="preserve">Cladosporium-like</t>
  </si>
  <si>
    <t xml:space="preserve">Maybe</t>
  </si>
  <si>
    <t xml:space="preserve">Likely condensation-associated</t>
  </si>
  <si>
    <t xml:space="preserve">Home Health AI – API Mapping</t>
  </si>
  <si>
    <t xml:space="preserve">Simple field mapping for developer handoff from workbook logic to app/backend schema.</t>
  </si>
  <si>
    <t xml:space="preserve">workbook_sheet</t>
  </si>
  <si>
    <t xml:space="preserve">workbook_field</t>
  </si>
  <si>
    <t xml:space="preserve">api_field_name</t>
  </si>
  <si>
    <t xml:space="preserve">data_type</t>
  </si>
  <si>
    <t xml:space="preserve">required</t>
  </si>
  <si>
    <t xml:space="preserve">description</t>
  </si>
  <si>
    <t xml:space="preserve">example_value</t>
  </si>
  <si>
    <t xml:space="preserve">source_logic</t>
  </si>
  <si>
    <t xml:space="preserve">owner</t>
  </si>
  <si>
    <t xml:space="preserve">Field Input Template</t>
  </si>
  <si>
    <t xml:space="preserve">caseId</t>
  </si>
  <si>
    <t xml:space="preserve">string</t>
  </si>
  <si>
    <t xml:space="preserve">Unique case identifier</t>
  </si>
  <si>
    <t xml:space="preserve">App-generated</t>
  </si>
  <si>
    <t xml:space="preserve">Primary key</t>
  </si>
  <si>
    <t xml:space="preserve">App</t>
  </si>
  <si>
    <t xml:space="preserve">photoId</t>
  </si>
  <si>
    <t xml:space="preserve">Image upload identifier</t>
  </si>
  <si>
    <t xml:space="preserve">Upload service</t>
  </si>
  <si>
    <t xml:space="preserve">Link to CV pipeline</t>
  </si>
  <si>
    <t xml:space="preserve">humidityPct</t>
  </si>
  <si>
    <t xml:space="preserve">number</t>
  </si>
  <si>
    <t xml:space="preserve">Ambient humidity during inspection</t>
  </si>
  <si>
    <t xml:space="preserve">Sensor/manual entry</t>
  </si>
  <si>
    <t xml:space="preserve">Use in moisture scoring</t>
  </si>
  <si>
    <t xml:space="preserve">App/Inspector</t>
  </si>
  <si>
    <t xml:space="preserve">Mold Species Database</t>
  </si>
  <si>
    <t xml:space="preserve">speciesName</t>
  </si>
  <si>
    <t xml:space="preserve">Canonical species or grouped label</t>
  </si>
  <si>
    <t xml:space="preserve">Reference table</t>
  </si>
  <si>
    <t xml:space="preserve">Taxonomy source</t>
  </si>
  <si>
    <t xml:space="preserve">Data</t>
  </si>
  <si>
    <t xml:space="preserve">visualGroup</t>
  </si>
  <si>
    <t xml:space="preserve">Computer-vision-safe grouping</t>
  </si>
  <si>
    <t xml:space="preserve">Prevents false precision</t>
  </si>
  <si>
    <t xml:space="preserve">IAQ Scoring Engine</t>
  </si>
  <si>
    <t xml:space="preserve">riskScore</t>
  </si>
  <si>
    <t xml:space="preserve">Composite model score</t>
  </si>
  <si>
    <t xml:space="preserve">Formula</t>
  </si>
  <si>
    <t xml:space="preserve">0-100+</t>
  </si>
  <si>
    <t xml:space="preserve">Logic</t>
  </si>
  <si>
    <t xml:space="preserve">riskBand</t>
  </si>
  <si>
    <t xml:space="preserve">Human-readable risk bucket</t>
  </si>
  <si>
    <t xml:space="preserve">Shown to user and inspector</t>
  </si>
  <si>
    <t xml:space="preserve">recommendedAction</t>
  </si>
  <si>
    <t xml:space="preserve">Next-step recommendation</t>
  </si>
  <si>
    <t xml:space="preserve">Contain area + professional inspection</t>
  </si>
  <si>
    <t xml:space="preserve">Non-medical guidance</t>
  </si>
  <si>
    <t xml:space="preserve">Real Lab Data Training</t>
  </si>
  <si>
    <t xml:space="preserve">sporesPerM3</t>
  </si>
  <si>
    <t xml:space="preserve">Normalized lab result count</t>
  </si>
  <si>
    <t xml:space="preserve">Uploaded reports</t>
  </si>
  <si>
    <t xml:space="preserve">Training/QA data</t>
  </si>
  <si>
    <t xml:space="preserve">lab rule / interpretation</t>
  </si>
  <si>
    <t xml:space="preserve">labRuleText</t>
  </si>
  <si>
    <t xml:space="preserve">Safety and interpretation guidance</t>
  </si>
  <si>
    <t xml:space="preserve">Indoor air is compared to exterior baseline</t>
  </si>
  <si>
    <t xml:space="preserve">Prompt conditioning</t>
  </si>
  <si>
    <t xml:space="preserve">Policy/Logic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</si>
</sst>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%"/>
    <numFmt numFmtId="167" formatCode="#,##0"/>
    <numFmt numFmtId="168" formatCode="#,##0.0"/>
    <numFmt numFmtId="169" formatCode="0.0\x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sz val="11"/>
      <color rgb="FF808080"/>
      <name val="Cambria"/>
      <family val="0"/>
      <charset val="1"/>
    </font>
    <font>
      <sz val="11"/>
      <color rgb="FF00000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9EAF7"/>
        <bgColor rgb="FFDDEBF7"/>
      </patternFill>
    </fill>
    <fill>
      <patternFill patternType="solid">
        <fgColor rgb="FF1F4E78"/>
        <bgColor rgb="FF003366"/>
      </patternFill>
    </fill>
    <fill>
      <patternFill patternType="solid">
        <fgColor rgb="FFF7F9FB"/>
        <bgColor rgb="FFFFFFFF"/>
      </patternFill>
    </fill>
    <fill>
      <patternFill patternType="solid">
        <fgColor rgb="FFE4DFEC"/>
        <bgColor rgb="FFDDEBF7"/>
      </patternFill>
    </fill>
    <fill>
      <patternFill patternType="solid">
        <fgColor rgb="FFDDEBF7"/>
        <bgColor rgb="FFD9EAF7"/>
      </patternFill>
    </fill>
    <fill>
      <patternFill patternType="solid">
        <fgColor rgb="FFFCE4D6"/>
        <bgColor rgb="FFFDE9E7"/>
      </patternFill>
    </fill>
    <fill>
      <patternFill patternType="solid">
        <fgColor rgb="FFE2F0D9"/>
        <bgColor rgb="FFD9F0F0"/>
      </patternFill>
    </fill>
    <fill>
      <patternFill patternType="solid">
        <fgColor rgb="FFFFF2CC"/>
        <bgColor rgb="FFFDE9E7"/>
      </patternFill>
    </fill>
    <fill>
      <patternFill patternType="solid">
        <fgColor rgb="FFD9F0F0"/>
        <bgColor rgb="FFDDEBF7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D0D7DE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0" xfId="2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7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2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8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F7F9FB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DE9E7"/>
        </patternFill>
      </fill>
    </dxf>
    <dxf>
      <fill>
        <patternFill>
          <bgColor rgb="FFF4CCCC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D9F0F0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7F9F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DDEBF7"/>
      <rgbColor rgb="FF993366"/>
      <rgbColor rgb="FFFFF2CC"/>
      <rgbColor rgb="FFD9F0F0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E2F0D9"/>
      <rgbColor rgb="FFFCE4D6"/>
      <rgbColor rgb="FFD0D0D0"/>
      <rgbColor rgb="FFFDE9E7"/>
      <rgbColor rgb="FFE4DFEC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IDecisionTreeTable" displayName="AIDecisionTreeTable" ref="A4:F11" headerRowCount="1" totalsRowCount="0" totalsRowShown="0">
  <autoFilter ref="A4:F11"/>
  <tableColumns count="6">
    <tableColumn id="1" name="Step"/>
    <tableColumn id="2" name="Decision Question"/>
    <tableColumn id="3" name="If Yes"/>
    <tableColumn id="4" name="If No"/>
    <tableColumn id="5" name="AI Output Class"/>
    <tableColumn id="6" name="Notes"/>
  </tableColumns>
</table>
</file>

<file path=xl/tables/table2.xml><?xml version="1.0" encoding="utf-8"?>
<table xmlns="http://schemas.openxmlformats.org/spreadsheetml/2006/main" id="2" name="AIOutputMapTable" displayName="AIOutputMapTable" ref="A14:D22" headerRowCount="1" totalsRowCount="0" totalsRowShown="0">
  <autoFilter ref="A14:D22"/>
  <tableColumns count="4">
    <tableColumn id="1" name="Output Class"/>
    <tableColumn id="2" name="Recommended App Response"/>
    <tableColumn id="3" name="Confidence Direction"/>
    <tableColumn id="4" name="Suggested CTA"/>
  </tableColumns>
</table>
</file>

<file path=xl/tables/table3.xml><?xml version="1.0" encoding="utf-8"?>
<table xmlns="http://schemas.openxmlformats.org/spreadsheetml/2006/main" id="3" name="CleaningTable" displayName="CleaningTable" ref="A1:E10" headerRowCount="1" totalsRowCount="0" totalsRowShown="0">
  <autoFilter ref="A1:E10"/>
  <tableColumns count="5">
    <tableColumn id="1" name="agent"/>
    <tableColumn id="2" name=""/>
    <tableColumn id="3" name=""/>
    <tableColumn id="4" name=""/>
    <tableColumn id="5" name=""/>
  </tableColumns>
</table>
</file>

<file path=xl/tables/table4.xml><?xml version="1.0" encoding="utf-8"?>
<table xmlns="http://schemas.openxmlformats.org/spreadsheetml/2006/main" id="4" name="CoreMoldLogicTable" displayName="CoreMoldLogicTable" ref="A4:D14" headerRowCount="1" totalsRowCount="0" totalsRowShown="0">
  <autoFilter ref="A4:D14"/>
  <tableColumns count="4">
    <tableColumn id="1" name="rule_id"/>
    <tableColumn id="2" name="rule_name"/>
    <tableColumn id="3" name="logic_statement"/>
    <tableColumn id="4" name="why_it_matters"/>
  </tableColumns>
</table>
</file>

<file path=xl/tables/table5.xml><?xml version="1.0" encoding="utf-8"?>
<table xmlns="http://schemas.openxmlformats.org/spreadsheetml/2006/main" id="5" name="DictionaryTable" displayName="DictionaryTable" ref="A1:C19" headerRowCount="1" totalsRowCount="0" totalsRowShown="0">
  <autoFilter ref="A1:C19"/>
  <tableColumns count="3">
    <tableColumn id="1" name="field_name"/>
    <tableColumn id="2" name=""/>
    <tableColumn id="3" name=""/>
  </tableColumns>
</table>
</file>

<file path=xl/tables/table6.xml><?xml version="1.0" encoding="utf-8"?>
<table xmlns="http://schemas.openxmlformats.org/spreadsheetml/2006/main" id="6" name="EarlySignsTable" displayName="EarlySignsTable" ref="A1:E13" headerRowCount="1" totalsRowCount="0" totalsRowShown="0">
  <autoFilter ref="A1:E13"/>
  <tableColumns count="5">
    <tableColumn id="1" name="sign_name"/>
    <tableColumn id="2" name=""/>
    <tableColumn id="3" name=""/>
    <tableColumn id="4" name=""/>
    <tableColumn id="5" name=""/>
  </tableColumns>
</table>
</file>

<file path=xl/tables/table7.xml><?xml version="1.0" encoding="utf-8"?>
<table xmlns="http://schemas.openxmlformats.org/spreadsheetml/2006/main" id="7" name="ImageLabelTaxonomyTable" displayName="ImageLabelTaxonomyTable" ref="A4:J15" headerRowCount="1" totalsRowCount="0" totalsRowShown="0">
  <autoFilter ref="A4:J15"/>
  <tableColumns count="10">
    <tableColumn id="1" name="Label Group"/>
    <tableColumn id="2" name="Field Name"/>
    <tableColumn id="3" name="Allowed Values / Examples"/>
    <tableColumn id="4" name="Purpose"/>
    <tableColumn id="5" name="Example Annotation"/>
    <tableColumn id="6" name="Data Type"/>
    <tableColumn id="7" name="Input or Derived"/>
    <tableColumn id="8" name="AI Relevance"/>
    <tableColumn id="9" name="Review Note"/>
    <tableColumn id="10" name="Source / Context"/>
  </tableColumns>
</table>
</file>

<file path=xl/tables/table8.xml><?xml version="1.0" encoding="utf-8"?>
<table xmlns="http://schemas.openxmlformats.org/spreadsheetml/2006/main" id="8" name="InspectionLanguageTable" displayName="InspectionLanguageTable" ref="A4:F14" headerRowCount="1" totalsRowCount="0" totalsRowShown="0">
  <autoFilter ref="A4:F14"/>
  <tableColumns count="6">
    <tableColumn id="1" name="Situation"/>
    <tableColumn id="2" name="Audience"/>
    <tableColumn id="3" name="Recommended wording"/>
    <tableColumn id="4" name="Avoid wording"/>
    <tableColumn id="5" name="Purpose"/>
    <tableColumn id="6" name="Example app message"/>
  </tableColumns>
</table>
</file>

<file path=xl/tables/table9.xml><?xml version="1.0" encoding="utf-8"?>
<table xmlns="http://schemas.openxmlformats.org/spreadsheetml/2006/main" id="9" name="InterpretationExamplesTable" displayName="InterpretationExamplesTable" ref="A1:D5" headerRowCount="1" totalsRowCount="0" totalsRowShown="0">
  <autoFilter ref="A1:D5"/>
  <tableColumns count="4">
    <tableColumn id="1" name="scenario"/>
    <tableColumn id="2" name=""/>
    <tableColumn id="3" name=""/>
    <tableColumn id="4" name=""/>
  </tableColumns>
</table>
</file>

<file path=xl/tables/table10.xml><?xml version="1.0" encoding="utf-8"?>
<table xmlns="http://schemas.openxmlformats.org/spreadsheetml/2006/main" id="10" name="MoistureSourceTable" displayName="MoistureSourceTable" ref="A4:H12" headerRowCount="1" totalsRowCount="0" totalsRowShown="0">
  <autoFilter ref="A4:H12"/>
  <tableColumns count="8">
    <tableColumn id="1" name="Source Type"/>
    <tableColumn id="2" name="Typical Indicators"/>
    <tableColumn id="3" name="Common Rooms"/>
    <tableColumn id="4" name="Visual Clues"/>
    <tableColumn id="5" name="Risk Pattern"/>
    <tableColumn id="6" name="Likely Hidden?"/>
    <tableColumn id="7" name="Suggested AI Output"/>
    <tableColumn id="8" name="Professional Follow-up"/>
  </tableColumns>
</table>
</file>

<file path=xl/tables/table11.xml><?xml version="1.0" encoding="utf-8"?>
<table xmlns="http://schemas.openxmlformats.org/spreadsheetml/2006/main" id="11" name="MoldSpeciesTable" displayName="MoldSpeciesTable" ref="A3:R122" headerRowCount="1" totalsRowCount="0" totalsRowShown="0">
  <autoFilter ref="A3:R122"/>
  <tableColumns count="18">
    <tableColumn id="1" name="Stachybotrys chlorohalonata"/>
    <tableColumn id="2" name="Stachybotrys"/>
    <tableColumn id="3" name="Toxigenic"/>
    <tableColumn id="4" name="dark green"/>
    <tableColumn id="5" name="black"/>
    <tableColumn id="6" name="slimy"/>
    <tableColumn id="7" name="patchy"/>
    <tableColumn id="8" name="drywall, wallpaper, cellulose"/>
    <tableColumn id="9" name="water damaged walls, ceilings"/>
    <tableColumn id="10" name="high"/>
    <tableColumn id="11" name="70+"/>
    <tableColumn id="12" name="20-30"/>
    <tableColumn id="13" name="yes"/>
    <tableColumn id="14" name="rare"/>
    <tableColumn id="15" name="high2"/>
    <tableColumn id="16" name="yes2"/>
    <tableColumn id="17" name="remove porous materials; correct moisture"/>
    <tableColumn id="18" name="black_colony, slimy_texture, water_damage"/>
  </tableColumns>
</table>
</file>

<file path=xl/tables/table12.xml><?xml version="1.0" encoding="utf-8"?>
<table xmlns="http://schemas.openxmlformats.org/spreadsheetml/2006/main" id="12" name="RemediationFrameworkTable" displayName="RemediationFrameworkTable" ref="A4:I10" headerRowCount="1" totalsRowCount="0" totalsRowShown="0">
  <autoFilter ref="A4:I10"/>
  <tableColumns count="9">
    <tableColumn id="1" name="Scenario"/>
    <tableColumn id="2" name="Visual Severity"/>
    <tableColumn id="3" name="Substrate Type"/>
    <tableColumn id="4" name="Moisture Status"/>
    <tableColumn id="5" name="Recurrence"/>
    <tableColumn id="6" name="Suggested Path"/>
    <tableColumn id="7" name="Homeowner Message"/>
    <tableColumn id="8" name="Professional Message"/>
    <tableColumn id="9" name="Notes / Limits"/>
  </tableColumns>
</table>
</file>

<file path=xl/tables/table13.xml><?xml version="1.0" encoding="utf-8"?>
<table xmlns="http://schemas.openxmlformats.org/spreadsheetml/2006/main" id="13" name="RoomInspectionLogicTable" displayName="RoomInspectionLogicTable" ref="A4:I12" headerRowCount="1" totalsRowCount="0" totalsRowShown="0">
  <autoFilter ref="A4:I12"/>
  <tableColumns count="9">
    <tableColumn id="1" name="Room / Area"/>
    <tableColumn id="2" name="Primary Risk Drivers"/>
    <tableColumn id="3" name="High-Value Checkpoints"/>
    <tableColumn id="4" name="Common False Positives"/>
    <tableColumn id="5" name="Escalation Triggers"/>
    <tableColumn id="6" name="Homeowner Language"/>
    <tableColumn id="7" name="Professional Language"/>
    <tableColumn id="8" name="Suggested Next Step"/>
    <tableColumn id="9" name="Priority"/>
  </tableColumns>
</table>
</file>

<file path=xl/tables/table14.xml><?xml version="1.0" encoding="utf-8"?>
<table xmlns="http://schemas.openxmlformats.org/spreadsheetml/2006/main" id="14" name="TrainingAnnotationTemplateTable" displayName="TrainingAnnotationTemplateTable" ref="A4:L8" headerRowCount="1" totalsRowCount="0" totalsRowShown="0">
  <autoFilter ref="A4:L8"/>
  <tableColumns count="12">
    <tableColumn id="1" name="image_id"/>
    <tableColumn id="2" name="room_type"/>
    <tableColumn id="3" name="surface_type"/>
    <tableColumn id="4" name="moisture_visible (0/1)"/>
    <tableColumn id="5" name="texture_type"/>
    <tableColumn id="6" name="edge_pattern"/>
    <tableColumn id="7" name="color_profile"/>
    <tableColumn id="8" name="recurring_issue (0/1)"/>
    <tableColumn id="9" name="odor_reported (0/1)"/>
    <tableColumn id="10" name="likely_source"/>
    <tableColumn id="11" name="derived_substrate_flag"/>
    <tableColumn id="12" name="derived_attention_flag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3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4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5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5"/>
    <col collapsed="false" customWidth="true" hidden="false" outlineLevel="0" max="7" min="5" style="0" width="17"/>
    <col collapsed="false" customWidth="true" hidden="false" outlineLevel="0" max="9" min="8" style="0" width="26"/>
    <col collapsed="false" customWidth="true" hidden="false" outlineLevel="0" max="10" min="10" style="0" width="22"/>
    <col collapsed="false" customWidth="true" hidden="false" outlineLevel="0" max="11" min="11" style="0" width="26"/>
    <col collapsed="false" customWidth="true" hidden="false" outlineLevel="0" max="12" min="12" style="0" width="21"/>
    <col collapsed="false" customWidth="true" hidden="false" outlineLevel="0" max="13" min="13" style="0" width="23"/>
    <col collapsed="false" customWidth="true" hidden="false" outlineLevel="0" max="14" min="14" style="0" width="26"/>
    <col collapsed="false" customWidth="true" hidden="false" outlineLevel="0" max="15" min="15" style="0" width="22"/>
    <col collapsed="false" customWidth="true" hidden="false" outlineLevel="0" max="26" min="16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41.7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11</v>
      </c>
      <c r="P3" s="3" t="s">
        <v>14</v>
      </c>
      <c r="Q3" s="3" t="s">
        <v>16</v>
      </c>
      <c r="R3" s="3" t="s">
        <v>17</v>
      </c>
      <c r="S3" s="3" t="s">
        <v>18</v>
      </c>
      <c r="T3" s="3" t="s">
        <v>11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</row>
    <row r="4" customFormat="false" ht="21.75" hidden="false" customHeight="true" outlineLevel="0" collapsed="false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  <c r="L4" s="3" t="s">
        <v>36</v>
      </c>
      <c r="M4" s="3" t="s">
        <v>14</v>
      </c>
      <c r="N4" s="3" t="s">
        <v>37</v>
      </c>
      <c r="O4" s="3" t="s">
        <v>34</v>
      </c>
      <c r="P4" s="3" t="s">
        <v>38</v>
      </c>
      <c r="Q4" s="3" t="s">
        <v>39</v>
      </c>
      <c r="R4" s="3" t="s">
        <v>40</v>
      </c>
      <c r="S4" s="3" t="s">
        <v>41</v>
      </c>
      <c r="T4" s="3" t="s">
        <v>42</v>
      </c>
      <c r="U4" s="3" t="s">
        <v>43</v>
      </c>
      <c r="V4" s="3" t="s">
        <v>44</v>
      </c>
      <c r="W4" s="3" t="s">
        <v>45</v>
      </c>
      <c r="X4" s="3" t="s">
        <v>22</v>
      </c>
      <c r="Y4" s="3" t="s">
        <v>46</v>
      </c>
      <c r="Z4" s="3" t="s">
        <v>47</v>
      </c>
    </row>
    <row r="5" customFormat="false" ht="41.75" hidden="false" customHeight="false" outlineLevel="0" collapsed="false">
      <c r="A5" s="3" t="s">
        <v>48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32</v>
      </c>
      <c r="I5" s="3" t="s">
        <v>33</v>
      </c>
      <c r="J5" s="3" t="s">
        <v>34</v>
      </c>
      <c r="K5" s="3" t="s">
        <v>35</v>
      </c>
      <c r="L5" s="3" t="s">
        <v>36</v>
      </c>
      <c r="M5" s="3" t="s">
        <v>14</v>
      </c>
      <c r="N5" s="3" t="s">
        <v>37</v>
      </c>
      <c r="O5" s="3" t="s">
        <v>34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22</v>
      </c>
      <c r="Y5" s="3" t="s">
        <v>46</v>
      </c>
      <c r="Z5" s="3" t="s">
        <v>47</v>
      </c>
    </row>
    <row r="6" customFormat="false" ht="41.75" hidden="false" customHeight="false" outlineLevel="0" collapsed="false">
      <c r="A6" s="3" t="s">
        <v>49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31</v>
      </c>
      <c r="H6" s="3" t="s">
        <v>32</v>
      </c>
      <c r="I6" s="3" t="s">
        <v>33</v>
      </c>
      <c r="J6" s="3" t="s">
        <v>34</v>
      </c>
      <c r="K6" s="3" t="s">
        <v>35</v>
      </c>
      <c r="L6" s="3" t="s">
        <v>36</v>
      </c>
      <c r="M6" s="3" t="s">
        <v>14</v>
      </c>
      <c r="N6" s="3" t="s">
        <v>37</v>
      </c>
      <c r="O6" s="3" t="s">
        <v>34</v>
      </c>
      <c r="P6" s="3" t="s">
        <v>38</v>
      </c>
      <c r="Q6" s="3" t="s">
        <v>39</v>
      </c>
      <c r="R6" s="3" t="s">
        <v>40</v>
      </c>
      <c r="S6" s="3" t="s">
        <v>41</v>
      </c>
      <c r="T6" s="3" t="s">
        <v>42</v>
      </c>
      <c r="U6" s="3" t="s">
        <v>43</v>
      </c>
      <c r="V6" s="3" t="s">
        <v>44</v>
      </c>
      <c r="W6" s="3" t="s">
        <v>45</v>
      </c>
      <c r="X6" s="3" t="s">
        <v>22</v>
      </c>
      <c r="Y6" s="3" t="s">
        <v>46</v>
      </c>
      <c r="Z6" s="3" t="s">
        <v>47</v>
      </c>
    </row>
    <row r="7" customFormat="false" ht="41.75" hidden="false" customHeight="false" outlineLevel="0" collapsed="false">
      <c r="A7" s="3" t="s">
        <v>50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  <c r="G7" s="3" t="s">
        <v>31</v>
      </c>
      <c r="H7" s="3" t="s">
        <v>32</v>
      </c>
      <c r="I7" s="3" t="s">
        <v>33</v>
      </c>
      <c r="J7" s="3" t="s">
        <v>34</v>
      </c>
      <c r="K7" s="3" t="s">
        <v>35</v>
      </c>
      <c r="L7" s="3" t="s">
        <v>36</v>
      </c>
      <c r="M7" s="3" t="s">
        <v>14</v>
      </c>
      <c r="N7" s="3" t="s">
        <v>37</v>
      </c>
      <c r="O7" s="3" t="s">
        <v>34</v>
      </c>
      <c r="P7" s="3" t="s">
        <v>38</v>
      </c>
      <c r="Q7" s="3" t="s">
        <v>39</v>
      </c>
      <c r="R7" s="3" t="s">
        <v>40</v>
      </c>
      <c r="S7" s="3" t="s">
        <v>41</v>
      </c>
      <c r="T7" s="3" t="s">
        <v>42</v>
      </c>
      <c r="U7" s="3" t="s">
        <v>43</v>
      </c>
      <c r="V7" s="3" t="s">
        <v>44</v>
      </c>
      <c r="W7" s="3" t="s">
        <v>45</v>
      </c>
      <c r="X7" s="3" t="s">
        <v>22</v>
      </c>
      <c r="Y7" s="3" t="s">
        <v>46</v>
      </c>
      <c r="Z7" s="3" t="s">
        <v>47</v>
      </c>
    </row>
    <row r="8" customFormat="false" ht="41.75" hidden="false" customHeight="false" outlineLevel="0" collapsed="false">
      <c r="A8" s="3" t="s">
        <v>51</v>
      </c>
      <c r="B8" s="3" t="s">
        <v>26</v>
      </c>
      <c r="C8" s="3" t="s">
        <v>27</v>
      </c>
      <c r="D8" s="3" t="s">
        <v>28</v>
      </c>
      <c r="E8" s="3" t="s">
        <v>29</v>
      </c>
      <c r="F8" s="3" t="s">
        <v>30</v>
      </c>
      <c r="G8" s="3" t="s">
        <v>31</v>
      </c>
      <c r="H8" s="3" t="s">
        <v>32</v>
      </c>
      <c r="I8" s="3" t="s">
        <v>33</v>
      </c>
      <c r="J8" s="3" t="s">
        <v>34</v>
      </c>
      <c r="K8" s="3" t="s">
        <v>35</v>
      </c>
      <c r="L8" s="3" t="s">
        <v>36</v>
      </c>
      <c r="M8" s="3" t="s">
        <v>14</v>
      </c>
      <c r="N8" s="3" t="s">
        <v>37</v>
      </c>
      <c r="O8" s="3" t="s">
        <v>34</v>
      </c>
      <c r="P8" s="3" t="s">
        <v>38</v>
      </c>
      <c r="Q8" s="3" t="s">
        <v>39</v>
      </c>
      <c r="R8" s="3" t="s">
        <v>40</v>
      </c>
      <c r="S8" s="3" t="s">
        <v>41</v>
      </c>
      <c r="T8" s="3" t="s">
        <v>42</v>
      </c>
      <c r="U8" s="3" t="s">
        <v>43</v>
      </c>
      <c r="V8" s="3" t="s">
        <v>44</v>
      </c>
      <c r="W8" s="3" t="s">
        <v>45</v>
      </c>
      <c r="X8" s="3" t="s">
        <v>22</v>
      </c>
      <c r="Y8" s="3" t="s">
        <v>46</v>
      </c>
      <c r="Z8" s="3" t="s">
        <v>47</v>
      </c>
    </row>
    <row r="9" customFormat="false" ht="41.75" hidden="false" customHeight="false" outlineLevel="0" collapsed="false">
      <c r="A9" s="3" t="s">
        <v>52</v>
      </c>
      <c r="B9" s="3" t="s">
        <v>26</v>
      </c>
      <c r="C9" s="3" t="s">
        <v>27</v>
      </c>
      <c r="D9" s="3" t="s">
        <v>28</v>
      </c>
      <c r="E9" s="3" t="s">
        <v>29</v>
      </c>
      <c r="F9" s="3" t="s">
        <v>30</v>
      </c>
      <c r="G9" s="3" t="s">
        <v>31</v>
      </c>
      <c r="H9" s="3" t="s">
        <v>32</v>
      </c>
      <c r="I9" s="3" t="s">
        <v>33</v>
      </c>
      <c r="J9" s="3" t="s">
        <v>34</v>
      </c>
      <c r="K9" s="3" t="s">
        <v>35</v>
      </c>
      <c r="L9" s="3" t="s">
        <v>36</v>
      </c>
      <c r="M9" s="3" t="s">
        <v>14</v>
      </c>
      <c r="N9" s="3" t="s">
        <v>37</v>
      </c>
      <c r="O9" s="3" t="s">
        <v>34</v>
      </c>
      <c r="P9" s="3" t="s">
        <v>38</v>
      </c>
      <c r="Q9" s="3" t="s">
        <v>39</v>
      </c>
      <c r="R9" s="3" t="s">
        <v>40</v>
      </c>
      <c r="S9" s="3" t="s">
        <v>41</v>
      </c>
      <c r="T9" s="3" t="s">
        <v>42</v>
      </c>
      <c r="U9" s="3" t="s">
        <v>43</v>
      </c>
      <c r="V9" s="3" t="s">
        <v>44</v>
      </c>
      <c r="W9" s="3" t="s">
        <v>45</v>
      </c>
      <c r="X9" s="3" t="s">
        <v>22</v>
      </c>
      <c r="Y9" s="3" t="s">
        <v>46</v>
      </c>
      <c r="Z9" s="3" t="s">
        <v>47</v>
      </c>
    </row>
    <row r="10" customFormat="false" ht="41.75" hidden="false" customHeight="false" outlineLevel="0" collapsed="false">
      <c r="A10" s="3" t="s">
        <v>53</v>
      </c>
      <c r="B10" s="3" t="s">
        <v>26</v>
      </c>
      <c r="C10" s="3" t="s">
        <v>27</v>
      </c>
      <c r="D10" s="3" t="s">
        <v>28</v>
      </c>
      <c r="E10" s="3" t="s">
        <v>29</v>
      </c>
      <c r="F10" s="3" t="s">
        <v>30</v>
      </c>
      <c r="G10" s="3" t="s">
        <v>31</v>
      </c>
      <c r="H10" s="3" t="s">
        <v>32</v>
      </c>
      <c r="I10" s="3" t="s">
        <v>33</v>
      </c>
      <c r="J10" s="3" t="s">
        <v>34</v>
      </c>
      <c r="K10" s="3" t="s">
        <v>35</v>
      </c>
      <c r="L10" s="3" t="s">
        <v>36</v>
      </c>
      <c r="M10" s="3" t="s">
        <v>14</v>
      </c>
      <c r="N10" s="3" t="s">
        <v>37</v>
      </c>
      <c r="O10" s="3" t="s">
        <v>34</v>
      </c>
      <c r="P10" s="3" t="s">
        <v>38</v>
      </c>
      <c r="Q10" s="3" t="s">
        <v>39</v>
      </c>
      <c r="R10" s="3" t="s">
        <v>40</v>
      </c>
      <c r="S10" s="3" t="s">
        <v>41</v>
      </c>
      <c r="T10" s="3" t="s">
        <v>42</v>
      </c>
      <c r="U10" s="3" t="s">
        <v>43</v>
      </c>
      <c r="V10" s="3" t="s">
        <v>44</v>
      </c>
      <c r="W10" s="3" t="s">
        <v>45</v>
      </c>
      <c r="X10" s="3" t="s">
        <v>22</v>
      </c>
      <c r="Y10" s="3" t="s">
        <v>46</v>
      </c>
      <c r="Z10" s="3" t="s">
        <v>47</v>
      </c>
    </row>
    <row r="11" customFormat="false" ht="41.75" hidden="false" customHeight="false" outlineLevel="0" collapsed="false">
      <c r="A11" s="3" t="s">
        <v>54</v>
      </c>
      <c r="B11" s="3" t="s">
        <v>26</v>
      </c>
      <c r="C11" s="3" t="s">
        <v>27</v>
      </c>
      <c r="D11" s="3" t="s">
        <v>28</v>
      </c>
      <c r="E11" s="3" t="s">
        <v>29</v>
      </c>
      <c r="F11" s="3" t="s">
        <v>30</v>
      </c>
      <c r="G11" s="3" t="s">
        <v>31</v>
      </c>
      <c r="H11" s="3" t="s">
        <v>32</v>
      </c>
      <c r="I11" s="3" t="s">
        <v>33</v>
      </c>
      <c r="J11" s="3" t="s">
        <v>34</v>
      </c>
      <c r="K11" s="3" t="s">
        <v>35</v>
      </c>
      <c r="L11" s="3" t="s">
        <v>36</v>
      </c>
      <c r="M11" s="3" t="s">
        <v>14</v>
      </c>
      <c r="N11" s="3" t="s">
        <v>37</v>
      </c>
      <c r="O11" s="3" t="s">
        <v>34</v>
      </c>
      <c r="P11" s="3" t="s">
        <v>38</v>
      </c>
      <c r="Q11" s="3" t="s">
        <v>39</v>
      </c>
      <c r="R11" s="3" t="s">
        <v>40</v>
      </c>
      <c r="S11" s="3" t="s">
        <v>41</v>
      </c>
      <c r="T11" s="3" t="s">
        <v>42</v>
      </c>
      <c r="U11" s="3" t="s">
        <v>43</v>
      </c>
      <c r="V11" s="3" t="s">
        <v>44</v>
      </c>
      <c r="W11" s="3" t="s">
        <v>45</v>
      </c>
      <c r="X11" s="3" t="s">
        <v>22</v>
      </c>
      <c r="Y11" s="3" t="s">
        <v>46</v>
      </c>
      <c r="Z11" s="3" t="s">
        <v>47</v>
      </c>
    </row>
    <row r="12" customFormat="false" ht="41.75" hidden="false" customHeight="false" outlineLevel="0" collapsed="false">
      <c r="A12" s="3" t="s">
        <v>55</v>
      </c>
      <c r="B12" s="3" t="s">
        <v>26</v>
      </c>
      <c r="C12" s="3" t="s">
        <v>27</v>
      </c>
      <c r="D12" s="3" t="s">
        <v>28</v>
      </c>
      <c r="E12" s="3" t="s">
        <v>29</v>
      </c>
      <c r="F12" s="3" t="s">
        <v>30</v>
      </c>
      <c r="G12" s="3" t="s">
        <v>31</v>
      </c>
      <c r="H12" s="3" t="s">
        <v>32</v>
      </c>
      <c r="I12" s="3" t="s">
        <v>33</v>
      </c>
      <c r="J12" s="3" t="s">
        <v>34</v>
      </c>
      <c r="K12" s="3" t="s">
        <v>35</v>
      </c>
      <c r="L12" s="3" t="s">
        <v>36</v>
      </c>
      <c r="M12" s="3" t="s">
        <v>14</v>
      </c>
      <c r="N12" s="3" t="s">
        <v>37</v>
      </c>
      <c r="O12" s="3" t="s">
        <v>34</v>
      </c>
      <c r="P12" s="3" t="s">
        <v>38</v>
      </c>
      <c r="Q12" s="3" t="s">
        <v>39</v>
      </c>
      <c r="R12" s="3" t="s">
        <v>40</v>
      </c>
      <c r="S12" s="3" t="s">
        <v>41</v>
      </c>
      <c r="T12" s="3" t="s">
        <v>42</v>
      </c>
      <c r="U12" s="3" t="s">
        <v>43</v>
      </c>
      <c r="V12" s="3" t="s">
        <v>44</v>
      </c>
      <c r="W12" s="3" t="s">
        <v>45</v>
      </c>
      <c r="X12" s="3" t="s">
        <v>22</v>
      </c>
      <c r="Y12" s="3" t="s">
        <v>46</v>
      </c>
      <c r="Z12" s="3" t="s">
        <v>47</v>
      </c>
    </row>
    <row r="13" customFormat="false" ht="41.75" hidden="false" customHeight="false" outlineLevel="0" collapsed="false">
      <c r="A13" s="3" t="s">
        <v>56</v>
      </c>
      <c r="B13" s="3" t="s">
        <v>26</v>
      </c>
      <c r="C13" s="3" t="s">
        <v>27</v>
      </c>
      <c r="D13" s="3" t="s">
        <v>28</v>
      </c>
      <c r="E13" s="3" t="s">
        <v>29</v>
      </c>
      <c r="F13" s="3" t="s">
        <v>30</v>
      </c>
      <c r="G13" s="3" t="s">
        <v>31</v>
      </c>
      <c r="H13" s="3" t="s">
        <v>32</v>
      </c>
      <c r="I13" s="3" t="s">
        <v>33</v>
      </c>
      <c r="J13" s="3" t="s">
        <v>34</v>
      </c>
      <c r="K13" s="3" t="s">
        <v>35</v>
      </c>
      <c r="L13" s="3" t="s">
        <v>36</v>
      </c>
      <c r="M13" s="3" t="s">
        <v>14</v>
      </c>
      <c r="N13" s="3" t="s">
        <v>37</v>
      </c>
      <c r="O13" s="3" t="s">
        <v>34</v>
      </c>
      <c r="P13" s="3" t="s">
        <v>38</v>
      </c>
      <c r="Q13" s="3" t="s">
        <v>39</v>
      </c>
      <c r="R13" s="3" t="s">
        <v>40</v>
      </c>
      <c r="S13" s="3" t="s">
        <v>41</v>
      </c>
      <c r="T13" s="3" t="s">
        <v>42</v>
      </c>
      <c r="U13" s="3" t="s">
        <v>43</v>
      </c>
      <c r="V13" s="3" t="s">
        <v>44</v>
      </c>
      <c r="W13" s="3" t="s">
        <v>45</v>
      </c>
      <c r="X13" s="3" t="s">
        <v>22</v>
      </c>
      <c r="Y13" s="3" t="s">
        <v>46</v>
      </c>
      <c r="Z13" s="3" t="s">
        <v>47</v>
      </c>
    </row>
    <row r="14" customFormat="false" ht="41.75" hidden="false" customHeight="false" outlineLevel="0" collapsed="false">
      <c r="A14" s="3" t="s">
        <v>57</v>
      </c>
      <c r="B14" s="3" t="s">
        <v>58</v>
      </c>
      <c r="C14" s="3" t="s">
        <v>59</v>
      </c>
      <c r="D14" s="3" t="s">
        <v>60</v>
      </c>
      <c r="E14" s="3" t="s">
        <v>61</v>
      </c>
      <c r="F14" s="3" t="s">
        <v>62</v>
      </c>
      <c r="G14" s="3" t="s">
        <v>63</v>
      </c>
      <c r="H14" s="3" t="s">
        <v>64</v>
      </c>
      <c r="I14" s="3" t="s">
        <v>65</v>
      </c>
      <c r="J14" s="3" t="s">
        <v>34</v>
      </c>
      <c r="K14" s="3" t="s">
        <v>35</v>
      </c>
      <c r="L14" s="3" t="s">
        <v>66</v>
      </c>
      <c r="M14" s="3" t="s">
        <v>14</v>
      </c>
      <c r="N14" s="3" t="s">
        <v>37</v>
      </c>
      <c r="O14" s="3" t="s">
        <v>34</v>
      </c>
      <c r="P14" s="3" t="s">
        <v>38</v>
      </c>
      <c r="Q14" s="3" t="s">
        <v>67</v>
      </c>
      <c r="R14" s="3" t="s">
        <v>68</v>
      </c>
      <c r="S14" s="3" t="s">
        <v>41</v>
      </c>
      <c r="T14" s="3" t="s">
        <v>42</v>
      </c>
      <c r="U14" s="3" t="s">
        <v>43</v>
      </c>
      <c r="V14" s="3" t="s">
        <v>44</v>
      </c>
      <c r="W14" s="3" t="s">
        <v>45</v>
      </c>
      <c r="X14" s="3" t="s">
        <v>22</v>
      </c>
      <c r="Y14" s="3" t="s">
        <v>69</v>
      </c>
      <c r="Z14" s="3" t="s">
        <v>47</v>
      </c>
    </row>
    <row r="15" customFormat="false" ht="41.75" hidden="false" customHeight="false" outlineLevel="0" collapsed="false">
      <c r="A15" s="3" t="s">
        <v>70</v>
      </c>
      <c r="B15" s="3" t="s">
        <v>58</v>
      </c>
      <c r="C15" s="3" t="s">
        <v>59</v>
      </c>
      <c r="D15" s="3" t="s">
        <v>60</v>
      </c>
      <c r="E15" s="3" t="s">
        <v>61</v>
      </c>
      <c r="F15" s="3" t="s">
        <v>62</v>
      </c>
      <c r="G15" s="3" t="s">
        <v>63</v>
      </c>
      <c r="H15" s="3" t="s">
        <v>64</v>
      </c>
      <c r="I15" s="3" t="s">
        <v>65</v>
      </c>
      <c r="J15" s="3" t="s">
        <v>34</v>
      </c>
      <c r="K15" s="3" t="s">
        <v>35</v>
      </c>
      <c r="L15" s="3" t="s">
        <v>66</v>
      </c>
      <c r="M15" s="3" t="s">
        <v>14</v>
      </c>
      <c r="N15" s="3" t="s">
        <v>37</v>
      </c>
      <c r="O15" s="3" t="s">
        <v>34</v>
      </c>
      <c r="P15" s="3" t="s">
        <v>38</v>
      </c>
      <c r="Q15" s="3" t="s">
        <v>67</v>
      </c>
      <c r="R15" s="3" t="s">
        <v>68</v>
      </c>
      <c r="S15" s="3" t="s">
        <v>41</v>
      </c>
      <c r="T15" s="3" t="s">
        <v>42</v>
      </c>
      <c r="U15" s="3" t="s">
        <v>43</v>
      </c>
      <c r="V15" s="3" t="s">
        <v>44</v>
      </c>
      <c r="W15" s="3" t="s">
        <v>45</v>
      </c>
      <c r="X15" s="3" t="s">
        <v>22</v>
      </c>
      <c r="Y15" s="3" t="s">
        <v>69</v>
      </c>
      <c r="Z15" s="3" t="s">
        <v>47</v>
      </c>
    </row>
    <row r="16" customFormat="false" ht="41.75" hidden="false" customHeight="false" outlineLevel="0" collapsed="false">
      <c r="A16" s="3" t="s">
        <v>71</v>
      </c>
      <c r="B16" s="3" t="s">
        <v>58</v>
      </c>
      <c r="C16" s="3" t="s">
        <v>59</v>
      </c>
      <c r="D16" s="3" t="s">
        <v>60</v>
      </c>
      <c r="E16" s="3" t="s">
        <v>61</v>
      </c>
      <c r="F16" s="3" t="s">
        <v>62</v>
      </c>
      <c r="G16" s="3" t="s">
        <v>63</v>
      </c>
      <c r="H16" s="3" t="s">
        <v>64</v>
      </c>
      <c r="I16" s="3" t="s">
        <v>65</v>
      </c>
      <c r="J16" s="3" t="s">
        <v>34</v>
      </c>
      <c r="K16" s="3" t="s">
        <v>35</v>
      </c>
      <c r="L16" s="3" t="s">
        <v>66</v>
      </c>
      <c r="M16" s="3" t="s">
        <v>14</v>
      </c>
      <c r="N16" s="3" t="s">
        <v>37</v>
      </c>
      <c r="O16" s="3" t="s">
        <v>34</v>
      </c>
      <c r="P16" s="3" t="s">
        <v>38</v>
      </c>
      <c r="Q16" s="3" t="s">
        <v>67</v>
      </c>
      <c r="R16" s="3" t="s">
        <v>68</v>
      </c>
      <c r="S16" s="3" t="s">
        <v>41</v>
      </c>
      <c r="T16" s="3" t="s">
        <v>42</v>
      </c>
      <c r="U16" s="3" t="s">
        <v>43</v>
      </c>
      <c r="V16" s="3" t="s">
        <v>44</v>
      </c>
      <c r="W16" s="3" t="s">
        <v>45</v>
      </c>
      <c r="X16" s="3" t="s">
        <v>22</v>
      </c>
      <c r="Y16" s="3" t="s">
        <v>69</v>
      </c>
      <c r="Z16" s="3" t="s">
        <v>47</v>
      </c>
    </row>
    <row r="17" customFormat="false" ht="41.75" hidden="false" customHeight="false" outlineLevel="0" collapsed="false">
      <c r="A17" s="3" t="s">
        <v>72</v>
      </c>
      <c r="B17" s="3" t="s">
        <v>58</v>
      </c>
      <c r="C17" s="3" t="s">
        <v>59</v>
      </c>
      <c r="D17" s="3" t="s">
        <v>60</v>
      </c>
      <c r="E17" s="3" t="s">
        <v>61</v>
      </c>
      <c r="F17" s="3" t="s">
        <v>62</v>
      </c>
      <c r="G17" s="3" t="s">
        <v>63</v>
      </c>
      <c r="H17" s="3" t="s">
        <v>64</v>
      </c>
      <c r="I17" s="3" t="s">
        <v>65</v>
      </c>
      <c r="J17" s="3" t="s">
        <v>34</v>
      </c>
      <c r="K17" s="3" t="s">
        <v>35</v>
      </c>
      <c r="L17" s="3" t="s">
        <v>66</v>
      </c>
      <c r="M17" s="3" t="s">
        <v>14</v>
      </c>
      <c r="N17" s="3" t="s">
        <v>37</v>
      </c>
      <c r="O17" s="3" t="s">
        <v>34</v>
      </c>
      <c r="P17" s="3" t="s">
        <v>38</v>
      </c>
      <c r="Q17" s="3" t="s">
        <v>67</v>
      </c>
      <c r="R17" s="3" t="s">
        <v>68</v>
      </c>
      <c r="S17" s="3" t="s">
        <v>41</v>
      </c>
      <c r="T17" s="3" t="s">
        <v>42</v>
      </c>
      <c r="U17" s="3" t="s">
        <v>43</v>
      </c>
      <c r="V17" s="3" t="s">
        <v>44</v>
      </c>
      <c r="W17" s="3" t="s">
        <v>45</v>
      </c>
      <c r="X17" s="3" t="s">
        <v>22</v>
      </c>
      <c r="Y17" s="3" t="s">
        <v>69</v>
      </c>
      <c r="Z17" s="3" t="s">
        <v>47</v>
      </c>
    </row>
    <row r="18" customFormat="false" ht="41.75" hidden="false" customHeight="false" outlineLevel="0" collapsed="false">
      <c r="A18" s="3" t="s">
        <v>73</v>
      </c>
      <c r="B18" s="3" t="s">
        <v>58</v>
      </c>
      <c r="C18" s="3" t="s">
        <v>59</v>
      </c>
      <c r="D18" s="3" t="s">
        <v>60</v>
      </c>
      <c r="E18" s="3" t="s">
        <v>61</v>
      </c>
      <c r="F18" s="3" t="s">
        <v>62</v>
      </c>
      <c r="G18" s="3" t="s">
        <v>63</v>
      </c>
      <c r="H18" s="3" t="s">
        <v>64</v>
      </c>
      <c r="I18" s="3" t="s">
        <v>65</v>
      </c>
      <c r="J18" s="3" t="s">
        <v>34</v>
      </c>
      <c r="K18" s="3" t="s">
        <v>35</v>
      </c>
      <c r="L18" s="3" t="s">
        <v>66</v>
      </c>
      <c r="M18" s="3" t="s">
        <v>14</v>
      </c>
      <c r="N18" s="3" t="s">
        <v>37</v>
      </c>
      <c r="O18" s="3" t="s">
        <v>34</v>
      </c>
      <c r="P18" s="3" t="s">
        <v>38</v>
      </c>
      <c r="Q18" s="3" t="s">
        <v>67</v>
      </c>
      <c r="R18" s="3" t="s">
        <v>68</v>
      </c>
      <c r="S18" s="3" t="s">
        <v>41</v>
      </c>
      <c r="T18" s="3" t="s">
        <v>42</v>
      </c>
      <c r="U18" s="3" t="s">
        <v>43</v>
      </c>
      <c r="V18" s="3" t="s">
        <v>44</v>
      </c>
      <c r="W18" s="3" t="s">
        <v>45</v>
      </c>
      <c r="X18" s="3" t="s">
        <v>22</v>
      </c>
      <c r="Y18" s="3" t="s">
        <v>69</v>
      </c>
      <c r="Z18" s="3" t="s">
        <v>47</v>
      </c>
    </row>
    <row r="19" customFormat="false" ht="41.75" hidden="false" customHeight="false" outlineLevel="0" collapsed="false">
      <c r="A19" s="3" t="s">
        <v>74</v>
      </c>
      <c r="B19" s="3" t="s">
        <v>58</v>
      </c>
      <c r="C19" s="3" t="s">
        <v>59</v>
      </c>
      <c r="D19" s="3" t="s">
        <v>60</v>
      </c>
      <c r="E19" s="3" t="s">
        <v>61</v>
      </c>
      <c r="F19" s="3" t="s">
        <v>62</v>
      </c>
      <c r="G19" s="3" t="s">
        <v>63</v>
      </c>
      <c r="H19" s="3" t="s">
        <v>64</v>
      </c>
      <c r="I19" s="3" t="s">
        <v>65</v>
      </c>
      <c r="J19" s="3" t="s">
        <v>34</v>
      </c>
      <c r="K19" s="3" t="s">
        <v>35</v>
      </c>
      <c r="L19" s="3" t="s">
        <v>66</v>
      </c>
      <c r="M19" s="3" t="s">
        <v>14</v>
      </c>
      <c r="N19" s="3" t="s">
        <v>37</v>
      </c>
      <c r="O19" s="3" t="s">
        <v>34</v>
      </c>
      <c r="P19" s="3" t="s">
        <v>38</v>
      </c>
      <c r="Q19" s="3" t="s">
        <v>67</v>
      </c>
      <c r="R19" s="3" t="s">
        <v>68</v>
      </c>
      <c r="S19" s="3" t="s">
        <v>41</v>
      </c>
      <c r="T19" s="3" t="s">
        <v>42</v>
      </c>
      <c r="U19" s="3" t="s">
        <v>43</v>
      </c>
      <c r="V19" s="3" t="s">
        <v>44</v>
      </c>
      <c r="W19" s="3" t="s">
        <v>45</v>
      </c>
      <c r="X19" s="3" t="s">
        <v>22</v>
      </c>
      <c r="Y19" s="3" t="s">
        <v>69</v>
      </c>
      <c r="Z19" s="3" t="s">
        <v>47</v>
      </c>
    </row>
    <row r="20" customFormat="false" ht="41.75" hidden="false" customHeight="false" outlineLevel="0" collapsed="false">
      <c r="A20" s="3" t="s">
        <v>75</v>
      </c>
      <c r="B20" s="3" t="s">
        <v>58</v>
      </c>
      <c r="C20" s="3" t="s">
        <v>59</v>
      </c>
      <c r="D20" s="3" t="s">
        <v>60</v>
      </c>
      <c r="E20" s="3" t="s">
        <v>61</v>
      </c>
      <c r="F20" s="3" t="s">
        <v>62</v>
      </c>
      <c r="G20" s="3" t="s">
        <v>63</v>
      </c>
      <c r="H20" s="3" t="s">
        <v>64</v>
      </c>
      <c r="I20" s="3" t="s">
        <v>65</v>
      </c>
      <c r="J20" s="3" t="s">
        <v>34</v>
      </c>
      <c r="K20" s="3" t="s">
        <v>35</v>
      </c>
      <c r="L20" s="3" t="s">
        <v>66</v>
      </c>
      <c r="M20" s="3" t="s">
        <v>14</v>
      </c>
      <c r="N20" s="3" t="s">
        <v>37</v>
      </c>
      <c r="O20" s="3" t="s">
        <v>34</v>
      </c>
      <c r="P20" s="3" t="s">
        <v>38</v>
      </c>
      <c r="Q20" s="3" t="s">
        <v>67</v>
      </c>
      <c r="R20" s="3" t="s">
        <v>68</v>
      </c>
      <c r="S20" s="3" t="s">
        <v>41</v>
      </c>
      <c r="T20" s="3" t="s">
        <v>42</v>
      </c>
      <c r="U20" s="3" t="s">
        <v>43</v>
      </c>
      <c r="V20" s="3" t="s">
        <v>44</v>
      </c>
      <c r="W20" s="3" t="s">
        <v>45</v>
      </c>
      <c r="X20" s="3" t="s">
        <v>22</v>
      </c>
      <c r="Y20" s="3" t="s">
        <v>69</v>
      </c>
      <c r="Z20" s="3" t="s">
        <v>47</v>
      </c>
    </row>
    <row r="21" customFormat="false" ht="41.75" hidden="false" customHeight="false" outlineLevel="0" collapsed="false">
      <c r="A21" s="3" t="s">
        <v>76</v>
      </c>
      <c r="B21" s="3" t="s">
        <v>58</v>
      </c>
      <c r="C21" s="3" t="s">
        <v>59</v>
      </c>
      <c r="D21" s="3" t="s">
        <v>60</v>
      </c>
      <c r="E21" s="3" t="s">
        <v>61</v>
      </c>
      <c r="F21" s="3" t="s">
        <v>62</v>
      </c>
      <c r="G21" s="3" t="s">
        <v>63</v>
      </c>
      <c r="H21" s="3" t="s">
        <v>64</v>
      </c>
      <c r="I21" s="3" t="s">
        <v>65</v>
      </c>
      <c r="J21" s="3" t="s">
        <v>34</v>
      </c>
      <c r="K21" s="3" t="s">
        <v>35</v>
      </c>
      <c r="L21" s="3" t="s">
        <v>66</v>
      </c>
      <c r="M21" s="3" t="s">
        <v>14</v>
      </c>
      <c r="N21" s="3" t="s">
        <v>37</v>
      </c>
      <c r="O21" s="3" t="s">
        <v>34</v>
      </c>
      <c r="P21" s="3" t="s">
        <v>38</v>
      </c>
      <c r="Q21" s="3" t="s">
        <v>67</v>
      </c>
      <c r="R21" s="3" t="s">
        <v>68</v>
      </c>
      <c r="S21" s="3" t="s">
        <v>41</v>
      </c>
      <c r="T21" s="3" t="s">
        <v>42</v>
      </c>
      <c r="U21" s="3" t="s">
        <v>43</v>
      </c>
      <c r="V21" s="3" t="s">
        <v>44</v>
      </c>
      <c r="W21" s="3" t="s">
        <v>45</v>
      </c>
      <c r="X21" s="3" t="s">
        <v>22</v>
      </c>
      <c r="Y21" s="3" t="s">
        <v>69</v>
      </c>
      <c r="Z21" s="3" t="s">
        <v>47</v>
      </c>
    </row>
    <row r="22" customFormat="false" ht="41.75" hidden="false" customHeight="false" outlineLevel="0" collapsed="false">
      <c r="A22" s="3" t="s">
        <v>77</v>
      </c>
      <c r="B22" s="3" t="s">
        <v>78</v>
      </c>
      <c r="C22" s="3" t="s">
        <v>59</v>
      </c>
      <c r="D22" s="3" t="s">
        <v>79</v>
      </c>
      <c r="E22" s="3" t="s">
        <v>80</v>
      </c>
      <c r="F22" s="3" t="s">
        <v>30</v>
      </c>
      <c r="G22" s="3" t="s">
        <v>81</v>
      </c>
      <c r="H22" s="3" t="s">
        <v>82</v>
      </c>
      <c r="I22" s="3" t="s">
        <v>83</v>
      </c>
      <c r="J22" s="3" t="s">
        <v>34</v>
      </c>
      <c r="K22" s="3" t="s">
        <v>35</v>
      </c>
      <c r="L22" s="3" t="s">
        <v>84</v>
      </c>
      <c r="M22" s="3" t="s">
        <v>14</v>
      </c>
      <c r="N22" s="3" t="s">
        <v>85</v>
      </c>
      <c r="O22" s="3" t="s">
        <v>86</v>
      </c>
      <c r="P22" s="3" t="s">
        <v>15</v>
      </c>
      <c r="Q22" s="3" t="s">
        <v>87</v>
      </c>
      <c r="R22" s="3" t="s">
        <v>88</v>
      </c>
      <c r="S22" s="3" t="s">
        <v>89</v>
      </c>
      <c r="T22" s="3" t="s">
        <v>34</v>
      </c>
      <c r="U22" s="3" t="s">
        <v>90</v>
      </c>
      <c r="V22" s="3" t="s">
        <v>44</v>
      </c>
      <c r="W22" s="3" t="s">
        <v>45</v>
      </c>
      <c r="X22" s="3" t="s">
        <v>22</v>
      </c>
      <c r="Y22" s="3" t="s">
        <v>91</v>
      </c>
      <c r="Z22" s="3" t="s">
        <v>92</v>
      </c>
    </row>
    <row r="23" customFormat="false" ht="41.75" hidden="false" customHeight="false" outlineLevel="0" collapsed="false">
      <c r="A23" s="3" t="s">
        <v>93</v>
      </c>
      <c r="B23" s="3" t="s">
        <v>78</v>
      </c>
      <c r="C23" s="3" t="s">
        <v>59</v>
      </c>
      <c r="D23" s="3" t="s">
        <v>79</v>
      </c>
      <c r="E23" s="3" t="s">
        <v>80</v>
      </c>
      <c r="F23" s="3" t="s">
        <v>30</v>
      </c>
      <c r="G23" s="3" t="s">
        <v>81</v>
      </c>
      <c r="H23" s="3" t="s">
        <v>82</v>
      </c>
      <c r="I23" s="3" t="s">
        <v>83</v>
      </c>
      <c r="J23" s="3" t="s">
        <v>34</v>
      </c>
      <c r="K23" s="3" t="s">
        <v>35</v>
      </c>
      <c r="L23" s="3" t="s">
        <v>84</v>
      </c>
      <c r="M23" s="3" t="s">
        <v>14</v>
      </c>
      <c r="N23" s="3" t="s">
        <v>85</v>
      </c>
      <c r="O23" s="3" t="s">
        <v>86</v>
      </c>
      <c r="P23" s="3" t="s">
        <v>15</v>
      </c>
      <c r="Q23" s="3" t="s">
        <v>87</v>
      </c>
      <c r="R23" s="3" t="s">
        <v>88</v>
      </c>
      <c r="S23" s="3" t="s">
        <v>89</v>
      </c>
      <c r="T23" s="3" t="s">
        <v>34</v>
      </c>
      <c r="U23" s="3" t="s">
        <v>90</v>
      </c>
      <c r="V23" s="3" t="s">
        <v>44</v>
      </c>
      <c r="W23" s="3" t="s">
        <v>45</v>
      </c>
      <c r="X23" s="3" t="s">
        <v>22</v>
      </c>
      <c r="Y23" s="3" t="s">
        <v>91</v>
      </c>
      <c r="Z23" s="3" t="s">
        <v>92</v>
      </c>
    </row>
    <row r="24" customFormat="false" ht="41.75" hidden="false" customHeight="false" outlineLevel="0" collapsed="false">
      <c r="A24" s="3" t="s">
        <v>94</v>
      </c>
      <c r="B24" s="3" t="s">
        <v>78</v>
      </c>
      <c r="C24" s="3" t="s">
        <v>59</v>
      </c>
      <c r="D24" s="3" t="s">
        <v>79</v>
      </c>
      <c r="E24" s="3" t="s">
        <v>80</v>
      </c>
      <c r="F24" s="3" t="s">
        <v>30</v>
      </c>
      <c r="G24" s="3" t="s">
        <v>81</v>
      </c>
      <c r="H24" s="3" t="s">
        <v>82</v>
      </c>
      <c r="I24" s="3" t="s">
        <v>83</v>
      </c>
      <c r="J24" s="3" t="s">
        <v>34</v>
      </c>
      <c r="K24" s="3" t="s">
        <v>35</v>
      </c>
      <c r="L24" s="3" t="s">
        <v>84</v>
      </c>
      <c r="M24" s="3" t="s">
        <v>14</v>
      </c>
      <c r="N24" s="3" t="s">
        <v>85</v>
      </c>
      <c r="O24" s="3" t="s">
        <v>86</v>
      </c>
      <c r="P24" s="3" t="s">
        <v>15</v>
      </c>
      <c r="Q24" s="3" t="s">
        <v>87</v>
      </c>
      <c r="R24" s="3" t="s">
        <v>88</v>
      </c>
      <c r="S24" s="3" t="s">
        <v>89</v>
      </c>
      <c r="T24" s="3" t="s">
        <v>34</v>
      </c>
      <c r="U24" s="3" t="s">
        <v>90</v>
      </c>
      <c r="V24" s="3" t="s">
        <v>44</v>
      </c>
      <c r="W24" s="3" t="s">
        <v>45</v>
      </c>
      <c r="X24" s="3" t="s">
        <v>22</v>
      </c>
      <c r="Y24" s="3" t="s">
        <v>91</v>
      </c>
      <c r="Z24" s="3" t="s">
        <v>92</v>
      </c>
    </row>
    <row r="25" customFormat="false" ht="41.75" hidden="false" customHeight="false" outlineLevel="0" collapsed="false">
      <c r="A25" s="3" t="s">
        <v>95</v>
      </c>
      <c r="B25" s="3" t="s">
        <v>78</v>
      </c>
      <c r="C25" s="3" t="s">
        <v>59</v>
      </c>
      <c r="D25" s="3" t="s">
        <v>79</v>
      </c>
      <c r="E25" s="3" t="s">
        <v>80</v>
      </c>
      <c r="F25" s="3" t="s">
        <v>30</v>
      </c>
      <c r="G25" s="3" t="s">
        <v>81</v>
      </c>
      <c r="H25" s="3" t="s">
        <v>82</v>
      </c>
      <c r="I25" s="3" t="s">
        <v>83</v>
      </c>
      <c r="J25" s="3" t="s">
        <v>34</v>
      </c>
      <c r="K25" s="3" t="s">
        <v>35</v>
      </c>
      <c r="L25" s="3" t="s">
        <v>84</v>
      </c>
      <c r="M25" s="3" t="s">
        <v>14</v>
      </c>
      <c r="N25" s="3" t="s">
        <v>85</v>
      </c>
      <c r="O25" s="3" t="s">
        <v>86</v>
      </c>
      <c r="P25" s="3" t="s">
        <v>15</v>
      </c>
      <c r="Q25" s="3" t="s">
        <v>87</v>
      </c>
      <c r="R25" s="3" t="s">
        <v>88</v>
      </c>
      <c r="S25" s="3" t="s">
        <v>89</v>
      </c>
      <c r="T25" s="3" t="s">
        <v>34</v>
      </c>
      <c r="U25" s="3" t="s">
        <v>90</v>
      </c>
      <c r="V25" s="3" t="s">
        <v>44</v>
      </c>
      <c r="W25" s="3" t="s">
        <v>45</v>
      </c>
      <c r="X25" s="3" t="s">
        <v>22</v>
      </c>
      <c r="Y25" s="3" t="s">
        <v>91</v>
      </c>
      <c r="Z25" s="3" t="s">
        <v>92</v>
      </c>
    </row>
    <row r="26" customFormat="false" ht="41.75" hidden="false" customHeight="false" outlineLevel="0" collapsed="false">
      <c r="A26" s="3" t="s">
        <v>96</v>
      </c>
      <c r="B26" s="3" t="s">
        <v>97</v>
      </c>
      <c r="C26" s="3" t="s">
        <v>98</v>
      </c>
      <c r="D26" s="3" t="s">
        <v>99</v>
      </c>
      <c r="E26" s="3" t="s">
        <v>100</v>
      </c>
      <c r="F26" s="3" t="s">
        <v>62</v>
      </c>
      <c r="G26" s="3" t="s">
        <v>101</v>
      </c>
      <c r="H26" s="3" t="s">
        <v>102</v>
      </c>
      <c r="I26" s="3" t="s">
        <v>103</v>
      </c>
      <c r="J26" s="3" t="s">
        <v>34</v>
      </c>
      <c r="K26" s="3" t="s">
        <v>104</v>
      </c>
      <c r="L26" s="3" t="s">
        <v>105</v>
      </c>
      <c r="M26" s="3" t="s">
        <v>14</v>
      </c>
      <c r="N26" s="3" t="s">
        <v>106</v>
      </c>
      <c r="O26" s="3" t="s">
        <v>34</v>
      </c>
      <c r="P26" s="3" t="s">
        <v>107</v>
      </c>
      <c r="Q26" s="3" t="s">
        <v>108</v>
      </c>
      <c r="R26" s="3" t="s">
        <v>109</v>
      </c>
      <c r="S26" s="3" t="s">
        <v>110</v>
      </c>
      <c r="T26" s="3" t="s">
        <v>34</v>
      </c>
      <c r="U26" s="3" t="s">
        <v>111</v>
      </c>
      <c r="V26" s="3" t="s">
        <v>44</v>
      </c>
      <c r="W26" s="3" t="s">
        <v>45</v>
      </c>
      <c r="X26" s="3" t="s">
        <v>22</v>
      </c>
      <c r="Y26" s="3" t="s">
        <v>112</v>
      </c>
      <c r="Z26" s="3" t="s">
        <v>113</v>
      </c>
    </row>
    <row r="27" customFormat="false" ht="41.75" hidden="false" customHeight="false" outlineLevel="0" collapsed="false">
      <c r="A27" s="3" t="s">
        <v>114</v>
      </c>
      <c r="B27" s="3" t="s">
        <v>97</v>
      </c>
      <c r="C27" s="3" t="s">
        <v>98</v>
      </c>
      <c r="D27" s="3" t="s">
        <v>99</v>
      </c>
      <c r="E27" s="3" t="s">
        <v>100</v>
      </c>
      <c r="F27" s="3" t="s">
        <v>62</v>
      </c>
      <c r="G27" s="3" t="s">
        <v>101</v>
      </c>
      <c r="H27" s="3" t="s">
        <v>102</v>
      </c>
      <c r="I27" s="3" t="s">
        <v>103</v>
      </c>
      <c r="J27" s="3" t="s">
        <v>34</v>
      </c>
      <c r="K27" s="3" t="s">
        <v>104</v>
      </c>
      <c r="L27" s="3" t="s">
        <v>105</v>
      </c>
      <c r="M27" s="3" t="s">
        <v>14</v>
      </c>
      <c r="N27" s="3" t="s">
        <v>106</v>
      </c>
      <c r="O27" s="3" t="s">
        <v>34</v>
      </c>
      <c r="P27" s="3" t="s">
        <v>107</v>
      </c>
      <c r="Q27" s="3" t="s">
        <v>108</v>
      </c>
      <c r="R27" s="3" t="s">
        <v>109</v>
      </c>
      <c r="S27" s="3" t="s">
        <v>110</v>
      </c>
      <c r="T27" s="3" t="s">
        <v>34</v>
      </c>
      <c r="U27" s="3" t="s">
        <v>111</v>
      </c>
      <c r="V27" s="3" t="s">
        <v>44</v>
      </c>
      <c r="W27" s="3" t="s">
        <v>45</v>
      </c>
      <c r="X27" s="3" t="s">
        <v>22</v>
      </c>
      <c r="Y27" s="3" t="s">
        <v>112</v>
      </c>
      <c r="Z27" s="3" t="s">
        <v>113</v>
      </c>
    </row>
    <row r="28" customFormat="false" ht="41.75" hidden="false" customHeight="false" outlineLevel="0" collapsed="false">
      <c r="A28" s="3" t="s">
        <v>115</v>
      </c>
      <c r="B28" s="3" t="s">
        <v>97</v>
      </c>
      <c r="C28" s="3" t="s">
        <v>98</v>
      </c>
      <c r="D28" s="3" t="s">
        <v>99</v>
      </c>
      <c r="E28" s="3" t="s">
        <v>100</v>
      </c>
      <c r="F28" s="3" t="s">
        <v>62</v>
      </c>
      <c r="G28" s="3" t="s">
        <v>101</v>
      </c>
      <c r="H28" s="3" t="s">
        <v>102</v>
      </c>
      <c r="I28" s="3" t="s">
        <v>103</v>
      </c>
      <c r="J28" s="3" t="s">
        <v>34</v>
      </c>
      <c r="K28" s="3" t="s">
        <v>104</v>
      </c>
      <c r="L28" s="3" t="s">
        <v>105</v>
      </c>
      <c r="M28" s="3" t="s">
        <v>14</v>
      </c>
      <c r="N28" s="3" t="s">
        <v>106</v>
      </c>
      <c r="O28" s="3" t="s">
        <v>34</v>
      </c>
      <c r="P28" s="3" t="s">
        <v>107</v>
      </c>
      <c r="Q28" s="3" t="s">
        <v>108</v>
      </c>
      <c r="R28" s="3" t="s">
        <v>109</v>
      </c>
      <c r="S28" s="3" t="s">
        <v>110</v>
      </c>
      <c r="T28" s="3" t="s">
        <v>34</v>
      </c>
      <c r="U28" s="3" t="s">
        <v>111</v>
      </c>
      <c r="V28" s="3" t="s">
        <v>44</v>
      </c>
      <c r="W28" s="3" t="s">
        <v>45</v>
      </c>
      <c r="X28" s="3" t="s">
        <v>22</v>
      </c>
      <c r="Y28" s="3" t="s">
        <v>112</v>
      </c>
      <c r="Z28" s="3" t="s">
        <v>113</v>
      </c>
    </row>
    <row r="29" customFormat="false" ht="41.75" hidden="false" customHeight="false" outlineLevel="0" collapsed="false">
      <c r="A29" s="3" t="s">
        <v>116</v>
      </c>
      <c r="B29" s="3" t="s">
        <v>97</v>
      </c>
      <c r="C29" s="3" t="s">
        <v>98</v>
      </c>
      <c r="D29" s="3" t="s">
        <v>99</v>
      </c>
      <c r="E29" s="3" t="s">
        <v>100</v>
      </c>
      <c r="F29" s="3" t="s">
        <v>62</v>
      </c>
      <c r="G29" s="3" t="s">
        <v>101</v>
      </c>
      <c r="H29" s="3" t="s">
        <v>102</v>
      </c>
      <c r="I29" s="3" t="s">
        <v>103</v>
      </c>
      <c r="J29" s="3" t="s">
        <v>34</v>
      </c>
      <c r="K29" s="3" t="s">
        <v>104</v>
      </c>
      <c r="L29" s="3" t="s">
        <v>105</v>
      </c>
      <c r="M29" s="3" t="s">
        <v>14</v>
      </c>
      <c r="N29" s="3" t="s">
        <v>106</v>
      </c>
      <c r="O29" s="3" t="s">
        <v>34</v>
      </c>
      <c r="P29" s="3" t="s">
        <v>107</v>
      </c>
      <c r="Q29" s="3" t="s">
        <v>108</v>
      </c>
      <c r="R29" s="3" t="s">
        <v>109</v>
      </c>
      <c r="S29" s="3" t="s">
        <v>110</v>
      </c>
      <c r="T29" s="3" t="s">
        <v>34</v>
      </c>
      <c r="U29" s="3" t="s">
        <v>111</v>
      </c>
      <c r="V29" s="3" t="s">
        <v>44</v>
      </c>
      <c r="W29" s="3" t="s">
        <v>45</v>
      </c>
      <c r="X29" s="3" t="s">
        <v>22</v>
      </c>
      <c r="Y29" s="3" t="s">
        <v>112</v>
      </c>
      <c r="Z29" s="3" t="s">
        <v>113</v>
      </c>
    </row>
    <row r="30" customFormat="false" ht="41.75" hidden="false" customHeight="false" outlineLevel="0" collapsed="false">
      <c r="A30" s="3" t="s">
        <v>117</v>
      </c>
      <c r="B30" s="3" t="s">
        <v>118</v>
      </c>
      <c r="C30" s="3" t="s">
        <v>119</v>
      </c>
      <c r="D30" s="3" t="s">
        <v>120</v>
      </c>
      <c r="E30" s="3" t="s">
        <v>121</v>
      </c>
      <c r="F30" s="3" t="s">
        <v>122</v>
      </c>
      <c r="G30" s="3" t="s">
        <v>8</v>
      </c>
      <c r="H30" s="3" t="s">
        <v>123</v>
      </c>
      <c r="I30" s="3" t="s">
        <v>124</v>
      </c>
      <c r="J30" s="3" t="s">
        <v>11</v>
      </c>
      <c r="K30" s="3" t="s">
        <v>12</v>
      </c>
      <c r="L30" s="3" t="s">
        <v>125</v>
      </c>
      <c r="M30" s="3" t="s">
        <v>14</v>
      </c>
      <c r="N30" s="3" t="s">
        <v>15</v>
      </c>
      <c r="O30" s="3" t="s">
        <v>11</v>
      </c>
      <c r="P30" s="3" t="s">
        <v>107</v>
      </c>
      <c r="Q30" s="3" t="s">
        <v>126</v>
      </c>
      <c r="R30" s="3" t="s">
        <v>127</v>
      </c>
      <c r="S30" s="3" t="s">
        <v>128</v>
      </c>
      <c r="T30" s="3" t="s">
        <v>11</v>
      </c>
      <c r="U30" s="3" t="s">
        <v>90</v>
      </c>
      <c r="V30" s="3" t="s">
        <v>20</v>
      </c>
      <c r="W30" s="3" t="s">
        <v>21</v>
      </c>
      <c r="X30" s="3" t="s">
        <v>14</v>
      </c>
      <c r="Y30" s="3" t="s">
        <v>129</v>
      </c>
      <c r="Z30" s="3" t="s">
        <v>24</v>
      </c>
    </row>
    <row r="31" customFormat="false" ht="41.75" hidden="false" customHeight="false" outlineLevel="0" collapsed="false">
      <c r="A31" s="3" t="s">
        <v>130</v>
      </c>
      <c r="B31" s="3" t="s">
        <v>118</v>
      </c>
      <c r="C31" s="3" t="s">
        <v>119</v>
      </c>
      <c r="D31" s="3" t="s">
        <v>120</v>
      </c>
      <c r="E31" s="3" t="s">
        <v>121</v>
      </c>
      <c r="F31" s="3" t="s">
        <v>122</v>
      </c>
      <c r="G31" s="3" t="s">
        <v>8</v>
      </c>
      <c r="H31" s="3" t="s">
        <v>123</v>
      </c>
      <c r="I31" s="3" t="s">
        <v>124</v>
      </c>
      <c r="J31" s="3" t="s">
        <v>11</v>
      </c>
      <c r="K31" s="3" t="s">
        <v>12</v>
      </c>
      <c r="L31" s="3" t="s">
        <v>125</v>
      </c>
      <c r="M31" s="3" t="s">
        <v>14</v>
      </c>
      <c r="N31" s="3" t="s">
        <v>15</v>
      </c>
      <c r="O31" s="3" t="s">
        <v>11</v>
      </c>
      <c r="P31" s="3" t="s">
        <v>107</v>
      </c>
      <c r="Q31" s="3" t="s">
        <v>126</v>
      </c>
      <c r="R31" s="3" t="s">
        <v>127</v>
      </c>
      <c r="S31" s="3" t="s">
        <v>128</v>
      </c>
      <c r="T31" s="3" t="s">
        <v>11</v>
      </c>
      <c r="U31" s="3" t="s">
        <v>90</v>
      </c>
      <c r="V31" s="3" t="s">
        <v>20</v>
      </c>
      <c r="W31" s="3" t="s">
        <v>21</v>
      </c>
      <c r="X31" s="3" t="s">
        <v>14</v>
      </c>
      <c r="Y31" s="3" t="s">
        <v>129</v>
      </c>
      <c r="Z31" s="3" t="s">
        <v>24</v>
      </c>
    </row>
    <row r="32" customFormat="false" ht="41.75" hidden="false" customHeight="false" outlineLevel="0" collapsed="false">
      <c r="A32" s="3" t="s">
        <v>131</v>
      </c>
      <c r="B32" s="3" t="s">
        <v>118</v>
      </c>
      <c r="C32" s="3" t="s">
        <v>119</v>
      </c>
      <c r="D32" s="3" t="s">
        <v>120</v>
      </c>
      <c r="E32" s="3" t="s">
        <v>121</v>
      </c>
      <c r="F32" s="3" t="s">
        <v>122</v>
      </c>
      <c r="G32" s="3" t="s">
        <v>8</v>
      </c>
      <c r="H32" s="3" t="s">
        <v>123</v>
      </c>
      <c r="I32" s="3" t="s">
        <v>124</v>
      </c>
      <c r="J32" s="3" t="s">
        <v>11</v>
      </c>
      <c r="K32" s="3" t="s">
        <v>12</v>
      </c>
      <c r="L32" s="3" t="s">
        <v>125</v>
      </c>
      <c r="M32" s="3" t="s">
        <v>14</v>
      </c>
      <c r="N32" s="3" t="s">
        <v>15</v>
      </c>
      <c r="O32" s="3" t="s">
        <v>11</v>
      </c>
      <c r="P32" s="3" t="s">
        <v>107</v>
      </c>
      <c r="Q32" s="3" t="s">
        <v>126</v>
      </c>
      <c r="R32" s="3" t="s">
        <v>127</v>
      </c>
      <c r="S32" s="3" t="s">
        <v>128</v>
      </c>
      <c r="T32" s="3" t="s">
        <v>11</v>
      </c>
      <c r="U32" s="3" t="s">
        <v>90</v>
      </c>
      <c r="V32" s="3" t="s">
        <v>20</v>
      </c>
      <c r="W32" s="3" t="s">
        <v>21</v>
      </c>
      <c r="X32" s="3" t="s">
        <v>14</v>
      </c>
      <c r="Y32" s="3" t="s">
        <v>129</v>
      </c>
      <c r="Z32" s="3" t="s">
        <v>24</v>
      </c>
    </row>
    <row r="33" customFormat="false" ht="41.75" hidden="false" customHeight="false" outlineLevel="0" collapsed="false">
      <c r="A33" s="3" t="s">
        <v>132</v>
      </c>
      <c r="B33" s="3" t="s">
        <v>118</v>
      </c>
      <c r="C33" s="3" t="s">
        <v>119</v>
      </c>
      <c r="D33" s="3" t="s">
        <v>120</v>
      </c>
      <c r="E33" s="3" t="s">
        <v>121</v>
      </c>
      <c r="F33" s="3" t="s">
        <v>122</v>
      </c>
      <c r="G33" s="3" t="s">
        <v>8</v>
      </c>
      <c r="H33" s="3" t="s">
        <v>123</v>
      </c>
      <c r="I33" s="3" t="s">
        <v>124</v>
      </c>
      <c r="J33" s="3" t="s">
        <v>11</v>
      </c>
      <c r="K33" s="3" t="s">
        <v>12</v>
      </c>
      <c r="L33" s="3" t="s">
        <v>125</v>
      </c>
      <c r="M33" s="3" t="s">
        <v>14</v>
      </c>
      <c r="N33" s="3" t="s">
        <v>15</v>
      </c>
      <c r="O33" s="3" t="s">
        <v>11</v>
      </c>
      <c r="P33" s="3" t="s">
        <v>107</v>
      </c>
      <c r="Q33" s="3" t="s">
        <v>126</v>
      </c>
      <c r="R33" s="3" t="s">
        <v>127</v>
      </c>
      <c r="S33" s="3" t="s">
        <v>128</v>
      </c>
      <c r="T33" s="3" t="s">
        <v>11</v>
      </c>
      <c r="U33" s="3" t="s">
        <v>90</v>
      </c>
      <c r="V33" s="3" t="s">
        <v>20</v>
      </c>
      <c r="W33" s="3" t="s">
        <v>21</v>
      </c>
      <c r="X33" s="3" t="s">
        <v>14</v>
      </c>
      <c r="Y33" s="3" t="s">
        <v>129</v>
      </c>
      <c r="Z33" s="3" t="s">
        <v>24</v>
      </c>
    </row>
    <row r="34" customFormat="false" ht="41.75" hidden="false" customHeight="false" outlineLevel="0" collapsed="false">
      <c r="A34" s="3" t="s">
        <v>133</v>
      </c>
      <c r="B34" s="3" t="s">
        <v>134</v>
      </c>
      <c r="C34" s="3" t="s">
        <v>119</v>
      </c>
      <c r="D34" s="3" t="s">
        <v>99</v>
      </c>
      <c r="E34" s="3" t="s">
        <v>6</v>
      </c>
      <c r="F34" s="3" t="s">
        <v>62</v>
      </c>
      <c r="G34" s="3" t="s">
        <v>8</v>
      </c>
      <c r="H34" s="3" t="s">
        <v>135</v>
      </c>
      <c r="I34" s="3" t="s">
        <v>136</v>
      </c>
      <c r="J34" s="3" t="s">
        <v>11</v>
      </c>
      <c r="K34" s="3" t="s">
        <v>12</v>
      </c>
      <c r="L34" s="3" t="s">
        <v>105</v>
      </c>
      <c r="M34" s="3" t="s">
        <v>14</v>
      </c>
      <c r="N34" s="3" t="s">
        <v>15</v>
      </c>
      <c r="O34" s="3" t="s">
        <v>34</v>
      </c>
      <c r="P34" s="3" t="s">
        <v>107</v>
      </c>
      <c r="Q34" s="3" t="s">
        <v>137</v>
      </c>
      <c r="R34" s="3" t="s">
        <v>138</v>
      </c>
      <c r="S34" s="3" t="s">
        <v>110</v>
      </c>
      <c r="T34" s="3" t="s">
        <v>34</v>
      </c>
      <c r="U34" s="3" t="s">
        <v>90</v>
      </c>
      <c r="V34" s="3" t="s">
        <v>20</v>
      </c>
      <c r="W34" s="3" t="s">
        <v>139</v>
      </c>
      <c r="X34" s="3" t="s">
        <v>14</v>
      </c>
      <c r="Y34" s="3" t="s">
        <v>140</v>
      </c>
      <c r="Z34" s="3" t="s">
        <v>24</v>
      </c>
    </row>
    <row r="35" customFormat="false" ht="41.75" hidden="false" customHeight="false" outlineLevel="0" collapsed="false">
      <c r="A35" s="3" t="s">
        <v>141</v>
      </c>
      <c r="B35" s="3" t="s">
        <v>134</v>
      </c>
      <c r="C35" s="3" t="s">
        <v>119</v>
      </c>
      <c r="D35" s="3" t="s">
        <v>99</v>
      </c>
      <c r="E35" s="3" t="s">
        <v>6</v>
      </c>
      <c r="F35" s="3" t="s">
        <v>62</v>
      </c>
      <c r="G35" s="3" t="s">
        <v>8</v>
      </c>
      <c r="H35" s="3" t="s">
        <v>135</v>
      </c>
      <c r="I35" s="3" t="s">
        <v>136</v>
      </c>
      <c r="J35" s="3" t="s">
        <v>11</v>
      </c>
      <c r="K35" s="3" t="s">
        <v>12</v>
      </c>
      <c r="L35" s="3" t="s">
        <v>105</v>
      </c>
      <c r="M35" s="3" t="s">
        <v>14</v>
      </c>
      <c r="N35" s="3" t="s">
        <v>15</v>
      </c>
      <c r="O35" s="3" t="s">
        <v>34</v>
      </c>
      <c r="P35" s="3" t="s">
        <v>107</v>
      </c>
      <c r="Q35" s="3" t="s">
        <v>137</v>
      </c>
      <c r="R35" s="3" t="s">
        <v>138</v>
      </c>
      <c r="S35" s="3" t="s">
        <v>110</v>
      </c>
      <c r="T35" s="3" t="s">
        <v>34</v>
      </c>
      <c r="U35" s="3" t="s">
        <v>90</v>
      </c>
      <c r="V35" s="3" t="s">
        <v>20</v>
      </c>
      <c r="W35" s="3" t="s">
        <v>139</v>
      </c>
      <c r="X35" s="3" t="s">
        <v>14</v>
      </c>
      <c r="Y35" s="3" t="s">
        <v>140</v>
      </c>
      <c r="Z35" s="3" t="s">
        <v>24</v>
      </c>
    </row>
    <row r="36" customFormat="false" ht="41.75" hidden="false" customHeight="false" outlineLevel="0" collapsed="false">
      <c r="A36" s="3" t="s">
        <v>142</v>
      </c>
      <c r="B36" s="3" t="s">
        <v>143</v>
      </c>
      <c r="C36" s="3" t="s">
        <v>144</v>
      </c>
      <c r="D36" s="3" t="s">
        <v>145</v>
      </c>
      <c r="E36" s="3" t="s">
        <v>61</v>
      </c>
      <c r="F36" s="3" t="s">
        <v>122</v>
      </c>
      <c r="G36" s="3" t="s">
        <v>63</v>
      </c>
      <c r="H36" s="3" t="s">
        <v>146</v>
      </c>
      <c r="I36" s="3" t="s">
        <v>147</v>
      </c>
      <c r="J36" s="3" t="s">
        <v>11</v>
      </c>
      <c r="K36" s="3" t="s">
        <v>12</v>
      </c>
      <c r="L36" s="3" t="s">
        <v>66</v>
      </c>
      <c r="M36" s="3" t="s">
        <v>14</v>
      </c>
      <c r="N36" s="3" t="s">
        <v>15</v>
      </c>
      <c r="O36" s="3" t="s">
        <v>148</v>
      </c>
      <c r="P36" s="3" t="s">
        <v>38</v>
      </c>
      <c r="Q36" s="3" t="s">
        <v>149</v>
      </c>
      <c r="R36" s="3" t="s">
        <v>150</v>
      </c>
      <c r="S36" s="3" t="s">
        <v>151</v>
      </c>
      <c r="T36" s="3" t="s">
        <v>34</v>
      </c>
      <c r="U36" s="3" t="s">
        <v>19</v>
      </c>
      <c r="V36" s="3" t="s">
        <v>20</v>
      </c>
      <c r="W36" s="3" t="s">
        <v>139</v>
      </c>
      <c r="X36" s="3" t="s">
        <v>22</v>
      </c>
      <c r="Y36" s="3" t="s">
        <v>152</v>
      </c>
      <c r="Z36" s="3" t="s">
        <v>24</v>
      </c>
    </row>
    <row r="37" customFormat="false" ht="41.75" hidden="false" customHeight="false" outlineLevel="0" collapsed="false">
      <c r="A37" s="3" t="s">
        <v>153</v>
      </c>
      <c r="B37" s="3" t="s">
        <v>143</v>
      </c>
      <c r="C37" s="3" t="s">
        <v>144</v>
      </c>
      <c r="D37" s="3" t="s">
        <v>145</v>
      </c>
      <c r="E37" s="3" t="s">
        <v>61</v>
      </c>
      <c r="F37" s="3" t="s">
        <v>122</v>
      </c>
      <c r="G37" s="3" t="s">
        <v>63</v>
      </c>
      <c r="H37" s="3" t="s">
        <v>146</v>
      </c>
      <c r="I37" s="3" t="s">
        <v>147</v>
      </c>
      <c r="J37" s="3" t="s">
        <v>11</v>
      </c>
      <c r="K37" s="3" t="s">
        <v>12</v>
      </c>
      <c r="L37" s="3" t="s">
        <v>66</v>
      </c>
      <c r="M37" s="3" t="s">
        <v>14</v>
      </c>
      <c r="N37" s="3" t="s">
        <v>15</v>
      </c>
      <c r="O37" s="3" t="s">
        <v>148</v>
      </c>
      <c r="P37" s="3" t="s">
        <v>38</v>
      </c>
      <c r="Q37" s="3" t="s">
        <v>149</v>
      </c>
      <c r="R37" s="3" t="s">
        <v>150</v>
      </c>
      <c r="S37" s="3" t="s">
        <v>151</v>
      </c>
      <c r="T37" s="3" t="s">
        <v>34</v>
      </c>
      <c r="U37" s="3" t="s">
        <v>19</v>
      </c>
      <c r="V37" s="3" t="s">
        <v>20</v>
      </c>
      <c r="W37" s="3" t="s">
        <v>139</v>
      </c>
      <c r="X37" s="3" t="s">
        <v>22</v>
      </c>
      <c r="Y37" s="3" t="s">
        <v>152</v>
      </c>
      <c r="Z37" s="3" t="s">
        <v>24</v>
      </c>
    </row>
    <row r="38" customFormat="false" ht="41.75" hidden="false" customHeight="false" outlineLevel="0" collapsed="false">
      <c r="A38" s="3" t="s">
        <v>154</v>
      </c>
      <c r="B38" s="3" t="s">
        <v>143</v>
      </c>
      <c r="C38" s="3" t="s">
        <v>144</v>
      </c>
      <c r="D38" s="3" t="s">
        <v>145</v>
      </c>
      <c r="E38" s="3" t="s">
        <v>61</v>
      </c>
      <c r="F38" s="3" t="s">
        <v>122</v>
      </c>
      <c r="G38" s="3" t="s">
        <v>63</v>
      </c>
      <c r="H38" s="3" t="s">
        <v>146</v>
      </c>
      <c r="I38" s="3" t="s">
        <v>147</v>
      </c>
      <c r="J38" s="3" t="s">
        <v>11</v>
      </c>
      <c r="K38" s="3" t="s">
        <v>12</v>
      </c>
      <c r="L38" s="3" t="s">
        <v>66</v>
      </c>
      <c r="M38" s="3" t="s">
        <v>14</v>
      </c>
      <c r="N38" s="3" t="s">
        <v>15</v>
      </c>
      <c r="O38" s="3" t="s">
        <v>148</v>
      </c>
      <c r="P38" s="3" t="s">
        <v>38</v>
      </c>
      <c r="Q38" s="3" t="s">
        <v>149</v>
      </c>
      <c r="R38" s="3" t="s">
        <v>150</v>
      </c>
      <c r="S38" s="3" t="s">
        <v>151</v>
      </c>
      <c r="T38" s="3" t="s">
        <v>34</v>
      </c>
      <c r="U38" s="3" t="s">
        <v>19</v>
      </c>
      <c r="V38" s="3" t="s">
        <v>20</v>
      </c>
      <c r="W38" s="3" t="s">
        <v>139</v>
      </c>
      <c r="X38" s="3" t="s">
        <v>22</v>
      </c>
      <c r="Y38" s="3" t="s">
        <v>152</v>
      </c>
      <c r="Z38" s="3" t="s">
        <v>24</v>
      </c>
    </row>
    <row r="39" customFormat="false" ht="41.75" hidden="false" customHeight="false" outlineLevel="0" collapsed="false">
      <c r="A39" s="3" t="s">
        <v>155</v>
      </c>
      <c r="B39" s="3" t="s">
        <v>143</v>
      </c>
      <c r="C39" s="3" t="s">
        <v>144</v>
      </c>
      <c r="D39" s="3" t="s">
        <v>145</v>
      </c>
      <c r="E39" s="3" t="s">
        <v>61</v>
      </c>
      <c r="F39" s="3" t="s">
        <v>122</v>
      </c>
      <c r="G39" s="3" t="s">
        <v>63</v>
      </c>
      <c r="H39" s="3" t="s">
        <v>146</v>
      </c>
      <c r="I39" s="3" t="s">
        <v>147</v>
      </c>
      <c r="J39" s="3" t="s">
        <v>11</v>
      </c>
      <c r="K39" s="3" t="s">
        <v>12</v>
      </c>
      <c r="L39" s="3" t="s">
        <v>66</v>
      </c>
      <c r="M39" s="3" t="s">
        <v>14</v>
      </c>
      <c r="N39" s="3" t="s">
        <v>15</v>
      </c>
      <c r="O39" s="3" t="s">
        <v>148</v>
      </c>
      <c r="P39" s="3" t="s">
        <v>38</v>
      </c>
      <c r="Q39" s="3" t="s">
        <v>149</v>
      </c>
      <c r="R39" s="3" t="s">
        <v>150</v>
      </c>
      <c r="S39" s="3" t="s">
        <v>151</v>
      </c>
      <c r="T39" s="3" t="s">
        <v>34</v>
      </c>
      <c r="U39" s="3" t="s">
        <v>19</v>
      </c>
      <c r="V39" s="3" t="s">
        <v>20</v>
      </c>
      <c r="W39" s="3" t="s">
        <v>139</v>
      </c>
      <c r="X39" s="3" t="s">
        <v>22</v>
      </c>
      <c r="Y39" s="3" t="s">
        <v>152</v>
      </c>
      <c r="Z39" s="3" t="s">
        <v>24</v>
      </c>
    </row>
    <row r="40" customFormat="false" ht="41.75" hidden="false" customHeight="false" outlineLevel="0" collapsed="false">
      <c r="A40" s="3" t="s">
        <v>156</v>
      </c>
      <c r="B40" s="3" t="s">
        <v>143</v>
      </c>
      <c r="C40" s="3" t="s">
        <v>144</v>
      </c>
      <c r="D40" s="3" t="s">
        <v>145</v>
      </c>
      <c r="E40" s="3" t="s">
        <v>61</v>
      </c>
      <c r="F40" s="3" t="s">
        <v>122</v>
      </c>
      <c r="G40" s="3" t="s">
        <v>63</v>
      </c>
      <c r="H40" s="3" t="s">
        <v>146</v>
      </c>
      <c r="I40" s="3" t="s">
        <v>147</v>
      </c>
      <c r="J40" s="3" t="s">
        <v>11</v>
      </c>
      <c r="K40" s="3" t="s">
        <v>12</v>
      </c>
      <c r="L40" s="3" t="s">
        <v>66</v>
      </c>
      <c r="M40" s="3" t="s">
        <v>14</v>
      </c>
      <c r="N40" s="3" t="s">
        <v>15</v>
      </c>
      <c r="O40" s="3" t="s">
        <v>148</v>
      </c>
      <c r="P40" s="3" t="s">
        <v>38</v>
      </c>
      <c r="Q40" s="3" t="s">
        <v>149</v>
      </c>
      <c r="R40" s="3" t="s">
        <v>150</v>
      </c>
      <c r="S40" s="3" t="s">
        <v>151</v>
      </c>
      <c r="T40" s="3" t="s">
        <v>34</v>
      </c>
      <c r="U40" s="3" t="s">
        <v>19</v>
      </c>
      <c r="V40" s="3" t="s">
        <v>20</v>
      </c>
      <c r="W40" s="3" t="s">
        <v>139</v>
      </c>
      <c r="X40" s="3" t="s">
        <v>22</v>
      </c>
      <c r="Y40" s="3" t="s">
        <v>152</v>
      </c>
      <c r="Z40" s="3" t="s">
        <v>24</v>
      </c>
    </row>
    <row r="41" customFormat="false" ht="41.75" hidden="false" customHeight="false" outlineLevel="0" collapsed="false">
      <c r="A41" s="3" t="s">
        <v>157</v>
      </c>
      <c r="B41" s="3" t="s">
        <v>158</v>
      </c>
      <c r="C41" s="3" t="s">
        <v>119</v>
      </c>
      <c r="D41" s="3" t="s">
        <v>159</v>
      </c>
      <c r="E41" s="3" t="s">
        <v>61</v>
      </c>
      <c r="F41" s="3" t="s">
        <v>160</v>
      </c>
      <c r="G41" s="3" t="s">
        <v>8</v>
      </c>
      <c r="H41" s="3" t="s">
        <v>161</v>
      </c>
      <c r="I41" s="3" t="s">
        <v>162</v>
      </c>
      <c r="J41" s="3" t="s">
        <v>11</v>
      </c>
      <c r="K41" s="3" t="s">
        <v>12</v>
      </c>
      <c r="L41" s="3" t="s">
        <v>163</v>
      </c>
      <c r="M41" s="3" t="s">
        <v>14</v>
      </c>
      <c r="N41" s="3" t="s">
        <v>15</v>
      </c>
      <c r="O41" s="3" t="s">
        <v>34</v>
      </c>
      <c r="P41" s="3" t="s">
        <v>107</v>
      </c>
      <c r="Q41" s="3" t="s">
        <v>164</v>
      </c>
      <c r="R41" s="3" t="s">
        <v>165</v>
      </c>
      <c r="S41" s="3" t="s">
        <v>41</v>
      </c>
      <c r="T41" s="3" t="s">
        <v>34</v>
      </c>
      <c r="U41" s="3" t="s">
        <v>19</v>
      </c>
      <c r="V41" s="3" t="s">
        <v>20</v>
      </c>
      <c r="W41" s="3" t="s">
        <v>45</v>
      </c>
      <c r="X41" s="3" t="s">
        <v>14</v>
      </c>
      <c r="Y41" s="3" t="s">
        <v>166</v>
      </c>
      <c r="Z41" s="3" t="s">
        <v>24</v>
      </c>
    </row>
    <row r="42" customFormat="false" ht="41.75" hidden="false" customHeight="false" outlineLevel="0" collapsed="false">
      <c r="A42" s="3" t="s">
        <v>167</v>
      </c>
      <c r="B42" s="3" t="s">
        <v>158</v>
      </c>
      <c r="C42" s="3" t="s">
        <v>119</v>
      </c>
      <c r="D42" s="3" t="s">
        <v>159</v>
      </c>
      <c r="E42" s="3" t="s">
        <v>61</v>
      </c>
      <c r="F42" s="3" t="s">
        <v>160</v>
      </c>
      <c r="G42" s="3" t="s">
        <v>8</v>
      </c>
      <c r="H42" s="3" t="s">
        <v>161</v>
      </c>
      <c r="I42" s="3" t="s">
        <v>162</v>
      </c>
      <c r="J42" s="3" t="s">
        <v>11</v>
      </c>
      <c r="K42" s="3" t="s">
        <v>12</v>
      </c>
      <c r="L42" s="3" t="s">
        <v>163</v>
      </c>
      <c r="M42" s="3" t="s">
        <v>14</v>
      </c>
      <c r="N42" s="3" t="s">
        <v>15</v>
      </c>
      <c r="O42" s="3" t="s">
        <v>34</v>
      </c>
      <c r="P42" s="3" t="s">
        <v>107</v>
      </c>
      <c r="Q42" s="3" t="s">
        <v>164</v>
      </c>
      <c r="R42" s="3" t="s">
        <v>165</v>
      </c>
      <c r="S42" s="3" t="s">
        <v>41</v>
      </c>
      <c r="T42" s="3" t="s">
        <v>34</v>
      </c>
      <c r="U42" s="3" t="s">
        <v>19</v>
      </c>
      <c r="V42" s="3" t="s">
        <v>20</v>
      </c>
      <c r="W42" s="3" t="s">
        <v>45</v>
      </c>
      <c r="X42" s="3" t="s">
        <v>14</v>
      </c>
      <c r="Y42" s="3" t="s">
        <v>166</v>
      </c>
      <c r="Z42" s="3" t="s">
        <v>24</v>
      </c>
    </row>
    <row r="43" customFormat="false" ht="41.75" hidden="false" customHeight="false" outlineLevel="0" collapsed="false">
      <c r="A43" s="3" t="s">
        <v>168</v>
      </c>
      <c r="B43" s="3" t="s">
        <v>158</v>
      </c>
      <c r="C43" s="3" t="s">
        <v>119</v>
      </c>
      <c r="D43" s="3" t="s">
        <v>159</v>
      </c>
      <c r="E43" s="3" t="s">
        <v>61</v>
      </c>
      <c r="F43" s="3" t="s">
        <v>160</v>
      </c>
      <c r="G43" s="3" t="s">
        <v>8</v>
      </c>
      <c r="H43" s="3" t="s">
        <v>161</v>
      </c>
      <c r="I43" s="3" t="s">
        <v>162</v>
      </c>
      <c r="J43" s="3" t="s">
        <v>11</v>
      </c>
      <c r="K43" s="3" t="s">
        <v>12</v>
      </c>
      <c r="L43" s="3" t="s">
        <v>163</v>
      </c>
      <c r="M43" s="3" t="s">
        <v>14</v>
      </c>
      <c r="N43" s="3" t="s">
        <v>15</v>
      </c>
      <c r="O43" s="3" t="s">
        <v>34</v>
      </c>
      <c r="P43" s="3" t="s">
        <v>107</v>
      </c>
      <c r="Q43" s="3" t="s">
        <v>164</v>
      </c>
      <c r="R43" s="3" t="s">
        <v>165</v>
      </c>
      <c r="S43" s="3" t="s">
        <v>41</v>
      </c>
      <c r="T43" s="3" t="s">
        <v>34</v>
      </c>
      <c r="U43" s="3" t="s">
        <v>19</v>
      </c>
      <c r="V43" s="3" t="s">
        <v>20</v>
      </c>
      <c r="W43" s="3" t="s">
        <v>45</v>
      </c>
      <c r="X43" s="3" t="s">
        <v>14</v>
      </c>
      <c r="Y43" s="3" t="s">
        <v>166</v>
      </c>
      <c r="Z43" s="3" t="s">
        <v>24</v>
      </c>
    </row>
    <row r="44" customFormat="false" ht="41.75" hidden="false" customHeight="false" outlineLevel="0" collapsed="false">
      <c r="A44" s="3" t="s">
        <v>169</v>
      </c>
      <c r="B44" s="3" t="s">
        <v>158</v>
      </c>
      <c r="C44" s="3" t="s">
        <v>119</v>
      </c>
      <c r="D44" s="3" t="s">
        <v>159</v>
      </c>
      <c r="E44" s="3" t="s">
        <v>61</v>
      </c>
      <c r="F44" s="3" t="s">
        <v>160</v>
      </c>
      <c r="G44" s="3" t="s">
        <v>8</v>
      </c>
      <c r="H44" s="3" t="s">
        <v>161</v>
      </c>
      <c r="I44" s="3" t="s">
        <v>162</v>
      </c>
      <c r="J44" s="3" t="s">
        <v>11</v>
      </c>
      <c r="K44" s="3" t="s">
        <v>12</v>
      </c>
      <c r="L44" s="3" t="s">
        <v>163</v>
      </c>
      <c r="M44" s="3" t="s">
        <v>14</v>
      </c>
      <c r="N44" s="3" t="s">
        <v>15</v>
      </c>
      <c r="O44" s="3" t="s">
        <v>34</v>
      </c>
      <c r="P44" s="3" t="s">
        <v>107</v>
      </c>
      <c r="Q44" s="3" t="s">
        <v>164</v>
      </c>
      <c r="R44" s="3" t="s">
        <v>165</v>
      </c>
      <c r="S44" s="3" t="s">
        <v>41</v>
      </c>
      <c r="T44" s="3" t="s">
        <v>34</v>
      </c>
      <c r="U44" s="3" t="s">
        <v>19</v>
      </c>
      <c r="V44" s="3" t="s">
        <v>20</v>
      </c>
      <c r="W44" s="3" t="s">
        <v>45</v>
      </c>
      <c r="X44" s="3" t="s">
        <v>14</v>
      </c>
      <c r="Y44" s="3" t="s">
        <v>166</v>
      </c>
      <c r="Z44" s="3" t="s">
        <v>24</v>
      </c>
    </row>
    <row r="45" customFormat="false" ht="41.75" hidden="false" customHeight="false" outlineLevel="0" collapsed="false">
      <c r="A45" s="3" t="s">
        <v>170</v>
      </c>
      <c r="B45" s="3" t="s">
        <v>171</v>
      </c>
      <c r="C45" s="3" t="s">
        <v>59</v>
      </c>
      <c r="D45" s="3" t="s">
        <v>145</v>
      </c>
      <c r="E45" s="3" t="s">
        <v>6</v>
      </c>
      <c r="F45" s="3" t="s">
        <v>172</v>
      </c>
      <c r="G45" s="3" t="s">
        <v>173</v>
      </c>
      <c r="H45" s="3" t="s">
        <v>174</v>
      </c>
      <c r="I45" s="3" t="s">
        <v>175</v>
      </c>
      <c r="J45" s="3" t="s">
        <v>34</v>
      </c>
      <c r="K45" s="3" t="s">
        <v>104</v>
      </c>
      <c r="L45" s="3" t="s">
        <v>176</v>
      </c>
      <c r="M45" s="3" t="s">
        <v>14</v>
      </c>
      <c r="N45" s="3" t="s">
        <v>107</v>
      </c>
      <c r="O45" s="3" t="s">
        <v>86</v>
      </c>
      <c r="P45" s="3" t="s">
        <v>22</v>
      </c>
      <c r="Q45" s="3" t="s">
        <v>177</v>
      </c>
      <c r="R45" s="3" t="s">
        <v>178</v>
      </c>
      <c r="S45" s="3" t="s">
        <v>179</v>
      </c>
      <c r="T45" s="3" t="s">
        <v>34</v>
      </c>
      <c r="U45" s="3" t="s">
        <v>90</v>
      </c>
      <c r="V45" s="3" t="s">
        <v>44</v>
      </c>
      <c r="W45" s="3" t="s">
        <v>180</v>
      </c>
      <c r="X45" s="3" t="s">
        <v>22</v>
      </c>
      <c r="Y45" s="3" t="s">
        <v>181</v>
      </c>
      <c r="Z45" s="3" t="s">
        <v>182</v>
      </c>
    </row>
    <row r="46" customFormat="false" ht="41.75" hidden="false" customHeight="false" outlineLevel="0" collapsed="false">
      <c r="A46" s="3" t="s">
        <v>183</v>
      </c>
      <c r="B46" s="3" t="s">
        <v>184</v>
      </c>
      <c r="C46" s="3" t="s">
        <v>185</v>
      </c>
      <c r="D46" s="3" t="s">
        <v>61</v>
      </c>
      <c r="E46" s="3" t="s">
        <v>29</v>
      </c>
      <c r="F46" s="3" t="s">
        <v>186</v>
      </c>
      <c r="G46" s="3" t="s">
        <v>187</v>
      </c>
      <c r="H46" s="3" t="s">
        <v>188</v>
      </c>
      <c r="I46" s="3" t="s">
        <v>189</v>
      </c>
      <c r="J46" s="3" t="s">
        <v>11</v>
      </c>
      <c r="K46" s="3" t="s">
        <v>12</v>
      </c>
      <c r="L46" s="3" t="s">
        <v>84</v>
      </c>
      <c r="M46" s="3" t="s">
        <v>14</v>
      </c>
      <c r="N46" s="3" t="s">
        <v>190</v>
      </c>
      <c r="O46" s="3" t="s">
        <v>86</v>
      </c>
      <c r="P46" s="3" t="s">
        <v>22</v>
      </c>
      <c r="Q46" s="3" t="s">
        <v>191</v>
      </c>
      <c r="R46" s="3" t="s">
        <v>192</v>
      </c>
      <c r="S46" s="3" t="s">
        <v>193</v>
      </c>
      <c r="T46" s="3" t="s">
        <v>11</v>
      </c>
      <c r="U46" s="3" t="s">
        <v>43</v>
      </c>
      <c r="V46" s="3" t="s">
        <v>20</v>
      </c>
      <c r="W46" s="3" t="s">
        <v>180</v>
      </c>
      <c r="X46" s="3" t="s">
        <v>22</v>
      </c>
      <c r="Y46" s="3" t="s">
        <v>194</v>
      </c>
      <c r="Z46" s="3" t="s">
        <v>195</v>
      </c>
    </row>
    <row r="47" customFormat="false" ht="41.75" hidden="false" customHeight="false" outlineLevel="0" collapsed="false">
      <c r="A47" s="3" t="s">
        <v>196</v>
      </c>
      <c r="B47" s="3" t="s">
        <v>184</v>
      </c>
      <c r="C47" s="3" t="s">
        <v>185</v>
      </c>
      <c r="D47" s="3" t="s">
        <v>61</v>
      </c>
      <c r="E47" s="3" t="s">
        <v>29</v>
      </c>
      <c r="F47" s="3" t="s">
        <v>186</v>
      </c>
      <c r="G47" s="3" t="s">
        <v>187</v>
      </c>
      <c r="H47" s="3" t="s">
        <v>188</v>
      </c>
      <c r="I47" s="3" t="s">
        <v>189</v>
      </c>
      <c r="J47" s="3" t="s">
        <v>11</v>
      </c>
      <c r="K47" s="3" t="s">
        <v>12</v>
      </c>
      <c r="L47" s="3" t="s">
        <v>84</v>
      </c>
      <c r="M47" s="3" t="s">
        <v>14</v>
      </c>
      <c r="N47" s="3" t="s">
        <v>190</v>
      </c>
      <c r="O47" s="3" t="s">
        <v>86</v>
      </c>
      <c r="P47" s="3" t="s">
        <v>22</v>
      </c>
      <c r="Q47" s="3" t="s">
        <v>191</v>
      </c>
      <c r="R47" s="3" t="s">
        <v>192</v>
      </c>
      <c r="S47" s="3" t="s">
        <v>193</v>
      </c>
      <c r="T47" s="3" t="s">
        <v>11</v>
      </c>
      <c r="U47" s="3" t="s">
        <v>43</v>
      </c>
      <c r="V47" s="3" t="s">
        <v>20</v>
      </c>
      <c r="W47" s="3" t="s">
        <v>180</v>
      </c>
      <c r="X47" s="3" t="s">
        <v>22</v>
      </c>
      <c r="Y47" s="3" t="s">
        <v>194</v>
      </c>
      <c r="Z47" s="3" t="s">
        <v>195</v>
      </c>
    </row>
    <row r="48" customFormat="false" ht="41.75" hidden="false" customHeight="false" outlineLevel="0" collapsed="false">
      <c r="A48" s="3" t="s">
        <v>197</v>
      </c>
      <c r="B48" s="3" t="s">
        <v>184</v>
      </c>
      <c r="C48" s="3" t="s">
        <v>185</v>
      </c>
      <c r="D48" s="3" t="s">
        <v>61</v>
      </c>
      <c r="E48" s="3" t="s">
        <v>29</v>
      </c>
      <c r="F48" s="3" t="s">
        <v>186</v>
      </c>
      <c r="G48" s="3" t="s">
        <v>187</v>
      </c>
      <c r="H48" s="3" t="s">
        <v>188</v>
      </c>
      <c r="I48" s="3" t="s">
        <v>189</v>
      </c>
      <c r="J48" s="3" t="s">
        <v>11</v>
      </c>
      <c r="K48" s="3" t="s">
        <v>12</v>
      </c>
      <c r="L48" s="3" t="s">
        <v>84</v>
      </c>
      <c r="M48" s="3" t="s">
        <v>14</v>
      </c>
      <c r="N48" s="3" t="s">
        <v>190</v>
      </c>
      <c r="O48" s="3" t="s">
        <v>86</v>
      </c>
      <c r="P48" s="3" t="s">
        <v>22</v>
      </c>
      <c r="Q48" s="3" t="s">
        <v>191</v>
      </c>
      <c r="R48" s="3" t="s">
        <v>192</v>
      </c>
      <c r="S48" s="3" t="s">
        <v>193</v>
      </c>
      <c r="T48" s="3" t="s">
        <v>11</v>
      </c>
      <c r="U48" s="3" t="s">
        <v>43</v>
      </c>
      <c r="V48" s="3" t="s">
        <v>20</v>
      </c>
      <c r="W48" s="3" t="s">
        <v>180</v>
      </c>
      <c r="X48" s="3" t="s">
        <v>22</v>
      </c>
      <c r="Y48" s="3" t="s">
        <v>194</v>
      </c>
      <c r="Z48" s="3" t="s">
        <v>195</v>
      </c>
    </row>
    <row r="49" customFormat="false" ht="41.75" hidden="false" customHeight="false" outlineLevel="0" collapsed="false">
      <c r="A49" s="3" t="s">
        <v>198</v>
      </c>
      <c r="B49" s="3" t="s">
        <v>199</v>
      </c>
      <c r="C49" s="3" t="s">
        <v>185</v>
      </c>
      <c r="D49" s="3" t="s">
        <v>61</v>
      </c>
      <c r="E49" s="3" t="s">
        <v>6</v>
      </c>
      <c r="F49" s="3" t="s">
        <v>186</v>
      </c>
      <c r="G49" s="3" t="s">
        <v>187</v>
      </c>
      <c r="H49" s="3" t="s">
        <v>200</v>
      </c>
      <c r="I49" s="3" t="s">
        <v>201</v>
      </c>
      <c r="J49" s="3" t="s">
        <v>11</v>
      </c>
      <c r="K49" s="3" t="s">
        <v>12</v>
      </c>
      <c r="L49" s="3" t="s">
        <v>202</v>
      </c>
      <c r="M49" s="3" t="s">
        <v>14</v>
      </c>
      <c r="N49" s="3" t="s">
        <v>190</v>
      </c>
      <c r="O49" s="3" t="s">
        <v>86</v>
      </c>
      <c r="P49" s="3" t="s">
        <v>22</v>
      </c>
      <c r="Q49" s="3" t="s">
        <v>203</v>
      </c>
      <c r="R49" s="3" t="s">
        <v>204</v>
      </c>
      <c r="S49" s="3" t="s">
        <v>193</v>
      </c>
      <c r="T49" s="3" t="s">
        <v>11</v>
      </c>
      <c r="U49" s="3" t="s">
        <v>43</v>
      </c>
      <c r="V49" s="3" t="s">
        <v>20</v>
      </c>
      <c r="W49" s="3" t="s">
        <v>180</v>
      </c>
      <c r="X49" s="3" t="s">
        <v>22</v>
      </c>
      <c r="Y49" s="3" t="s">
        <v>205</v>
      </c>
      <c r="Z49" s="3" t="s">
        <v>195</v>
      </c>
    </row>
    <row r="50" customFormat="false" ht="41.75" hidden="false" customHeight="false" outlineLevel="0" collapsed="false">
      <c r="A50" s="3" t="s">
        <v>206</v>
      </c>
      <c r="B50" s="3" t="s">
        <v>199</v>
      </c>
      <c r="C50" s="3" t="s">
        <v>185</v>
      </c>
      <c r="D50" s="3" t="s">
        <v>61</v>
      </c>
      <c r="E50" s="3" t="s">
        <v>6</v>
      </c>
      <c r="F50" s="3" t="s">
        <v>186</v>
      </c>
      <c r="G50" s="3" t="s">
        <v>187</v>
      </c>
      <c r="H50" s="3" t="s">
        <v>200</v>
      </c>
      <c r="I50" s="3" t="s">
        <v>201</v>
      </c>
      <c r="J50" s="3" t="s">
        <v>11</v>
      </c>
      <c r="K50" s="3" t="s">
        <v>12</v>
      </c>
      <c r="L50" s="3" t="s">
        <v>202</v>
      </c>
      <c r="M50" s="3" t="s">
        <v>14</v>
      </c>
      <c r="N50" s="3" t="s">
        <v>190</v>
      </c>
      <c r="O50" s="3" t="s">
        <v>86</v>
      </c>
      <c r="P50" s="3" t="s">
        <v>22</v>
      </c>
      <c r="Q50" s="3" t="s">
        <v>203</v>
      </c>
      <c r="R50" s="3" t="s">
        <v>204</v>
      </c>
      <c r="S50" s="3" t="s">
        <v>193</v>
      </c>
      <c r="T50" s="3" t="s">
        <v>11</v>
      </c>
      <c r="U50" s="3" t="s">
        <v>43</v>
      </c>
      <c r="V50" s="3" t="s">
        <v>20</v>
      </c>
      <c r="W50" s="3" t="s">
        <v>180</v>
      </c>
      <c r="X50" s="3" t="s">
        <v>22</v>
      </c>
      <c r="Y50" s="3" t="s">
        <v>205</v>
      </c>
      <c r="Z50" s="3" t="s">
        <v>195</v>
      </c>
    </row>
    <row r="51" customFormat="false" ht="41.75" hidden="false" customHeight="false" outlineLevel="0" collapsed="false">
      <c r="A51" s="3" t="s">
        <v>207</v>
      </c>
      <c r="B51" s="3" t="s">
        <v>208</v>
      </c>
      <c r="C51" s="3" t="s">
        <v>98</v>
      </c>
      <c r="D51" s="3" t="s">
        <v>209</v>
      </c>
      <c r="E51" s="3" t="s">
        <v>80</v>
      </c>
      <c r="F51" s="3" t="s">
        <v>30</v>
      </c>
      <c r="G51" s="3" t="s">
        <v>81</v>
      </c>
      <c r="H51" s="3" t="s">
        <v>210</v>
      </c>
      <c r="I51" s="3" t="s">
        <v>211</v>
      </c>
      <c r="J51" s="3" t="s">
        <v>34</v>
      </c>
      <c r="K51" s="3" t="s">
        <v>104</v>
      </c>
      <c r="L51" s="3" t="s">
        <v>66</v>
      </c>
      <c r="M51" s="3" t="s">
        <v>14</v>
      </c>
      <c r="N51" s="3" t="s">
        <v>107</v>
      </c>
      <c r="O51" s="3" t="s">
        <v>86</v>
      </c>
      <c r="P51" s="3" t="s">
        <v>107</v>
      </c>
      <c r="Q51" s="3" t="s">
        <v>212</v>
      </c>
      <c r="R51" s="3" t="s">
        <v>213</v>
      </c>
      <c r="S51" s="3" t="s">
        <v>214</v>
      </c>
      <c r="T51" s="3" t="s">
        <v>34</v>
      </c>
      <c r="U51" s="3" t="s">
        <v>111</v>
      </c>
      <c r="V51" s="3" t="s">
        <v>44</v>
      </c>
      <c r="W51" s="3" t="s">
        <v>180</v>
      </c>
      <c r="X51" s="3" t="s">
        <v>22</v>
      </c>
      <c r="Y51" s="3" t="s">
        <v>215</v>
      </c>
      <c r="Z51" s="3" t="s">
        <v>182</v>
      </c>
    </row>
    <row r="52" customFormat="false" ht="41.75" hidden="false" customHeight="false" outlineLevel="0" collapsed="false">
      <c r="A52" s="3" t="s">
        <v>216</v>
      </c>
      <c r="B52" s="3" t="s">
        <v>208</v>
      </c>
      <c r="C52" s="3" t="s">
        <v>98</v>
      </c>
      <c r="D52" s="3" t="s">
        <v>209</v>
      </c>
      <c r="E52" s="3" t="s">
        <v>80</v>
      </c>
      <c r="F52" s="3" t="s">
        <v>30</v>
      </c>
      <c r="G52" s="3" t="s">
        <v>81</v>
      </c>
      <c r="H52" s="3" t="s">
        <v>210</v>
      </c>
      <c r="I52" s="3" t="s">
        <v>211</v>
      </c>
      <c r="J52" s="3" t="s">
        <v>34</v>
      </c>
      <c r="K52" s="3" t="s">
        <v>104</v>
      </c>
      <c r="L52" s="3" t="s">
        <v>66</v>
      </c>
      <c r="M52" s="3" t="s">
        <v>14</v>
      </c>
      <c r="N52" s="3" t="s">
        <v>107</v>
      </c>
      <c r="O52" s="3" t="s">
        <v>86</v>
      </c>
      <c r="P52" s="3" t="s">
        <v>107</v>
      </c>
      <c r="Q52" s="3" t="s">
        <v>212</v>
      </c>
      <c r="R52" s="3" t="s">
        <v>213</v>
      </c>
      <c r="S52" s="3" t="s">
        <v>214</v>
      </c>
      <c r="T52" s="3" t="s">
        <v>34</v>
      </c>
      <c r="U52" s="3" t="s">
        <v>111</v>
      </c>
      <c r="V52" s="3" t="s">
        <v>44</v>
      </c>
      <c r="W52" s="3" t="s">
        <v>180</v>
      </c>
      <c r="X52" s="3" t="s">
        <v>22</v>
      </c>
      <c r="Y52" s="3" t="s">
        <v>215</v>
      </c>
      <c r="Z52" s="3" t="s">
        <v>182</v>
      </c>
    </row>
    <row r="53" customFormat="false" ht="41.75" hidden="false" customHeight="false" outlineLevel="0" collapsed="false">
      <c r="A53" s="3" t="s">
        <v>217</v>
      </c>
      <c r="B53" s="3" t="s">
        <v>218</v>
      </c>
      <c r="C53" s="3" t="s">
        <v>98</v>
      </c>
      <c r="D53" s="3" t="s">
        <v>99</v>
      </c>
      <c r="E53" s="3" t="s">
        <v>6</v>
      </c>
      <c r="F53" s="3" t="s">
        <v>62</v>
      </c>
      <c r="G53" s="3" t="s">
        <v>219</v>
      </c>
      <c r="H53" s="3" t="s">
        <v>220</v>
      </c>
      <c r="I53" s="3" t="s">
        <v>221</v>
      </c>
      <c r="J53" s="3" t="s">
        <v>34</v>
      </c>
      <c r="K53" s="3" t="s">
        <v>104</v>
      </c>
      <c r="L53" s="3" t="s">
        <v>163</v>
      </c>
      <c r="M53" s="3" t="s">
        <v>14</v>
      </c>
      <c r="N53" s="3" t="s">
        <v>37</v>
      </c>
      <c r="O53" s="3" t="s">
        <v>34</v>
      </c>
      <c r="P53" s="3" t="s">
        <v>107</v>
      </c>
      <c r="Q53" s="3" t="s">
        <v>222</v>
      </c>
      <c r="R53" s="3" t="s">
        <v>223</v>
      </c>
      <c r="S53" s="3" t="s">
        <v>224</v>
      </c>
      <c r="T53" s="3" t="s">
        <v>34</v>
      </c>
      <c r="U53" s="3" t="s">
        <v>43</v>
      </c>
      <c r="V53" s="3" t="s">
        <v>44</v>
      </c>
      <c r="W53" s="3" t="s">
        <v>180</v>
      </c>
      <c r="X53" s="3" t="s">
        <v>22</v>
      </c>
      <c r="Y53" s="3" t="s">
        <v>225</v>
      </c>
      <c r="Z53" s="3" t="s">
        <v>47</v>
      </c>
    </row>
    <row r="54" customFormat="false" ht="41.75" hidden="false" customHeight="false" outlineLevel="0" collapsed="false">
      <c r="A54" s="3" t="s">
        <v>226</v>
      </c>
      <c r="B54" s="3" t="s">
        <v>218</v>
      </c>
      <c r="C54" s="3" t="s">
        <v>98</v>
      </c>
      <c r="D54" s="3" t="s">
        <v>99</v>
      </c>
      <c r="E54" s="3" t="s">
        <v>6</v>
      </c>
      <c r="F54" s="3" t="s">
        <v>62</v>
      </c>
      <c r="G54" s="3" t="s">
        <v>219</v>
      </c>
      <c r="H54" s="3" t="s">
        <v>220</v>
      </c>
      <c r="I54" s="3" t="s">
        <v>221</v>
      </c>
      <c r="J54" s="3" t="s">
        <v>34</v>
      </c>
      <c r="K54" s="3" t="s">
        <v>104</v>
      </c>
      <c r="L54" s="3" t="s">
        <v>163</v>
      </c>
      <c r="M54" s="3" t="s">
        <v>14</v>
      </c>
      <c r="N54" s="3" t="s">
        <v>37</v>
      </c>
      <c r="O54" s="3" t="s">
        <v>34</v>
      </c>
      <c r="P54" s="3" t="s">
        <v>107</v>
      </c>
      <c r="Q54" s="3" t="s">
        <v>222</v>
      </c>
      <c r="R54" s="3" t="s">
        <v>223</v>
      </c>
      <c r="S54" s="3" t="s">
        <v>224</v>
      </c>
      <c r="T54" s="3" t="s">
        <v>34</v>
      </c>
      <c r="U54" s="3" t="s">
        <v>43</v>
      </c>
      <c r="V54" s="3" t="s">
        <v>44</v>
      </c>
      <c r="W54" s="3" t="s">
        <v>180</v>
      </c>
      <c r="X54" s="3" t="s">
        <v>22</v>
      </c>
      <c r="Y54" s="3" t="s">
        <v>225</v>
      </c>
      <c r="Z54" s="3" t="s">
        <v>47</v>
      </c>
    </row>
    <row r="55" customFormat="false" ht="41.75" hidden="false" customHeight="false" outlineLevel="0" collapsed="false">
      <c r="A55" s="3" t="s">
        <v>227</v>
      </c>
      <c r="B55" s="3" t="s">
        <v>228</v>
      </c>
      <c r="C55" s="3" t="s">
        <v>59</v>
      </c>
      <c r="D55" s="3" t="s">
        <v>6</v>
      </c>
      <c r="E55" s="3" t="s">
        <v>29</v>
      </c>
      <c r="F55" s="3" t="s">
        <v>30</v>
      </c>
      <c r="G55" s="3" t="s">
        <v>81</v>
      </c>
      <c r="H55" s="3" t="s">
        <v>229</v>
      </c>
      <c r="I55" s="3" t="s">
        <v>230</v>
      </c>
      <c r="J55" s="3" t="s">
        <v>34</v>
      </c>
      <c r="K55" s="3" t="s">
        <v>35</v>
      </c>
      <c r="L55" s="3" t="s">
        <v>105</v>
      </c>
      <c r="M55" s="3" t="s">
        <v>14</v>
      </c>
      <c r="N55" s="3" t="s">
        <v>37</v>
      </c>
      <c r="O55" s="3" t="s">
        <v>231</v>
      </c>
      <c r="P55" s="3" t="s">
        <v>15</v>
      </c>
      <c r="Q55" s="3" t="s">
        <v>232</v>
      </c>
      <c r="R55" s="3" t="s">
        <v>233</v>
      </c>
      <c r="S55" s="3" t="s">
        <v>234</v>
      </c>
      <c r="T55" s="3" t="s">
        <v>34</v>
      </c>
      <c r="U55" s="3" t="s">
        <v>90</v>
      </c>
      <c r="V55" s="3" t="s">
        <v>44</v>
      </c>
      <c r="W55" s="3" t="s">
        <v>180</v>
      </c>
      <c r="X55" s="3" t="s">
        <v>22</v>
      </c>
      <c r="Y55" s="3" t="s">
        <v>235</v>
      </c>
      <c r="Z55" s="3" t="s">
        <v>47</v>
      </c>
    </row>
    <row r="56" customFormat="false" ht="41.75" hidden="false" customHeight="false" outlineLevel="0" collapsed="false">
      <c r="A56" s="3" t="s">
        <v>236</v>
      </c>
      <c r="B56" s="3" t="s">
        <v>228</v>
      </c>
      <c r="C56" s="3" t="s">
        <v>59</v>
      </c>
      <c r="D56" s="3" t="s">
        <v>6</v>
      </c>
      <c r="E56" s="3" t="s">
        <v>29</v>
      </c>
      <c r="F56" s="3" t="s">
        <v>30</v>
      </c>
      <c r="G56" s="3" t="s">
        <v>81</v>
      </c>
      <c r="H56" s="3" t="s">
        <v>229</v>
      </c>
      <c r="I56" s="3" t="s">
        <v>230</v>
      </c>
      <c r="J56" s="3" t="s">
        <v>34</v>
      </c>
      <c r="K56" s="3" t="s">
        <v>35</v>
      </c>
      <c r="L56" s="3" t="s">
        <v>105</v>
      </c>
      <c r="M56" s="3" t="s">
        <v>14</v>
      </c>
      <c r="N56" s="3" t="s">
        <v>37</v>
      </c>
      <c r="O56" s="3" t="s">
        <v>231</v>
      </c>
      <c r="P56" s="3" t="s">
        <v>15</v>
      </c>
      <c r="Q56" s="3" t="s">
        <v>232</v>
      </c>
      <c r="R56" s="3" t="s">
        <v>233</v>
      </c>
      <c r="S56" s="3" t="s">
        <v>234</v>
      </c>
      <c r="T56" s="3" t="s">
        <v>34</v>
      </c>
      <c r="U56" s="3" t="s">
        <v>90</v>
      </c>
      <c r="V56" s="3" t="s">
        <v>44</v>
      </c>
      <c r="W56" s="3" t="s">
        <v>180</v>
      </c>
      <c r="X56" s="3" t="s">
        <v>22</v>
      </c>
      <c r="Y56" s="3" t="s">
        <v>235</v>
      </c>
      <c r="Z56" s="3" t="s">
        <v>47</v>
      </c>
    </row>
    <row r="57" customFormat="false" ht="55.2" hidden="false" customHeight="false" outlineLevel="0" collapsed="false">
      <c r="A57" s="3" t="s">
        <v>237</v>
      </c>
      <c r="B57" s="3" t="s">
        <v>238</v>
      </c>
      <c r="C57" s="3" t="s">
        <v>119</v>
      </c>
      <c r="D57" s="3" t="s">
        <v>121</v>
      </c>
      <c r="E57" s="3" t="s">
        <v>6</v>
      </c>
      <c r="F57" s="3" t="s">
        <v>30</v>
      </c>
      <c r="G57" s="3" t="s">
        <v>8</v>
      </c>
      <c r="H57" s="3" t="s">
        <v>239</v>
      </c>
      <c r="I57" s="3" t="s">
        <v>240</v>
      </c>
      <c r="J57" s="3" t="s">
        <v>148</v>
      </c>
      <c r="K57" s="3" t="s">
        <v>104</v>
      </c>
      <c r="L57" s="3" t="s">
        <v>84</v>
      </c>
      <c r="M57" s="3" t="s">
        <v>14</v>
      </c>
      <c r="N57" s="3" t="s">
        <v>241</v>
      </c>
      <c r="O57" s="3" t="s">
        <v>34</v>
      </c>
      <c r="P57" s="3" t="s">
        <v>107</v>
      </c>
      <c r="Q57" s="3" t="s">
        <v>242</v>
      </c>
      <c r="R57" s="3" t="s">
        <v>243</v>
      </c>
      <c r="S57" s="3" t="s">
        <v>244</v>
      </c>
      <c r="T57" s="3" t="s">
        <v>34</v>
      </c>
      <c r="U57" s="3" t="s">
        <v>90</v>
      </c>
      <c r="V57" s="3" t="s">
        <v>20</v>
      </c>
      <c r="W57" s="3" t="s">
        <v>139</v>
      </c>
      <c r="X57" s="3" t="s">
        <v>22</v>
      </c>
      <c r="Y57" s="3" t="s">
        <v>245</v>
      </c>
      <c r="Z57" s="3" t="s">
        <v>246</v>
      </c>
    </row>
    <row r="58" customFormat="false" ht="55.2" hidden="false" customHeight="false" outlineLevel="0" collapsed="false">
      <c r="A58" s="3" t="s">
        <v>247</v>
      </c>
      <c r="B58" s="3" t="s">
        <v>238</v>
      </c>
      <c r="C58" s="3" t="s">
        <v>119</v>
      </c>
      <c r="D58" s="3" t="s">
        <v>121</v>
      </c>
      <c r="E58" s="3" t="s">
        <v>6</v>
      </c>
      <c r="F58" s="3" t="s">
        <v>30</v>
      </c>
      <c r="G58" s="3" t="s">
        <v>8</v>
      </c>
      <c r="H58" s="3" t="s">
        <v>239</v>
      </c>
      <c r="I58" s="3" t="s">
        <v>240</v>
      </c>
      <c r="J58" s="3" t="s">
        <v>148</v>
      </c>
      <c r="K58" s="3" t="s">
        <v>104</v>
      </c>
      <c r="L58" s="3" t="s">
        <v>84</v>
      </c>
      <c r="M58" s="3" t="s">
        <v>14</v>
      </c>
      <c r="N58" s="3" t="s">
        <v>241</v>
      </c>
      <c r="O58" s="3" t="s">
        <v>34</v>
      </c>
      <c r="P58" s="3" t="s">
        <v>107</v>
      </c>
      <c r="Q58" s="3" t="s">
        <v>242</v>
      </c>
      <c r="R58" s="3" t="s">
        <v>243</v>
      </c>
      <c r="S58" s="3" t="s">
        <v>244</v>
      </c>
      <c r="T58" s="3" t="s">
        <v>34</v>
      </c>
      <c r="U58" s="3" t="s">
        <v>90</v>
      </c>
      <c r="V58" s="3" t="s">
        <v>20</v>
      </c>
      <c r="W58" s="3" t="s">
        <v>139</v>
      </c>
      <c r="X58" s="3" t="s">
        <v>22</v>
      </c>
      <c r="Y58" s="3" t="s">
        <v>245</v>
      </c>
      <c r="Z58" s="3" t="s">
        <v>246</v>
      </c>
    </row>
    <row r="59" customFormat="false" ht="41.75" hidden="false" customHeight="false" outlineLevel="0" collapsed="false">
      <c r="A59" s="3" t="s">
        <v>248</v>
      </c>
      <c r="B59" s="3" t="s">
        <v>249</v>
      </c>
      <c r="C59" s="3" t="s">
        <v>98</v>
      </c>
      <c r="D59" s="3" t="s">
        <v>80</v>
      </c>
      <c r="E59" s="3" t="s">
        <v>100</v>
      </c>
      <c r="F59" s="3" t="s">
        <v>62</v>
      </c>
      <c r="G59" s="3" t="s">
        <v>8</v>
      </c>
      <c r="H59" s="3" t="s">
        <v>250</v>
      </c>
      <c r="I59" s="3" t="s">
        <v>251</v>
      </c>
      <c r="J59" s="3" t="s">
        <v>34</v>
      </c>
      <c r="K59" s="3" t="s">
        <v>104</v>
      </c>
      <c r="L59" s="3" t="s">
        <v>105</v>
      </c>
      <c r="M59" s="3" t="s">
        <v>14</v>
      </c>
      <c r="N59" s="3" t="s">
        <v>107</v>
      </c>
      <c r="O59" s="3" t="s">
        <v>86</v>
      </c>
      <c r="P59" s="3" t="s">
        <v>107</v>
      </c>
      <c r="Q59" s="3" t="s">
        <v>252</v>
      </c>
      <c r="R59" s="3" t="s">
        <v>253</v>
      </c>
      <c r="S59" s="3" t="s">
        <v>110</v>
      </c>
      <c r="T59" s="3" t="s">
        <v>34</v>
      </c>
      <c r="U59" s="3" t="s">
        <v>111</v>
      </c>
      <c r="V59" s="3" t="s">
        <v>44</v>
      </c>
      <c r="W59" s="3" t="s">
        <v>180</v>
      </c>
      <c r="X59" s="3" t="s">
        <v>14</v>
      </c>
      <c r="Y59" s="3" t="s">
        <v>254</v>
      </c>
      <c r="Z59" s="3" t="s">
        <v>182</v>
      </c>
    </row>
    <row r="60" customFormat="false" ht="41.75" hidden="false" customHeight="false" outlineLevel="0" collapsed="false">
      <c r="A60" s="3" t="s">
        <v>255</v>
      </c>
      <c r="B60" s="3" t="s">
        <v>249</v>
      </c>
      <c r="C60" s="3" t="s">
        <v>98</v>
      </c>
      <c r="D60" s="3" t="s">
        <v>80</v>
      </c>
      <c r="E60" s="3" t="s">
        <v>100</v>
      </c>
      <c r="F60" s="3" t="s">
        <v>62</v>
      </c>
      <c r="G60" s="3" t="s">
        <v>8</v>
      </c>
      <c r="H60" s="3" t="s">
        <v>250</v>
      </c>
      <c r="I60" s="3" t="s">
        <v>251</v>
      </c>
      <c r="J60" s="3" t="s">
        <v>34</v>
      </c>
      <c r="K60" s="3" t="s">
        <v>104</v>
      </c>
      <c r="L60" s="3" t="s">
        <v>105</v>
      </c>
      <c r="M60" s="3" t="s">
        <v>14</v>
      </c>
      <c r="N60" s="3" t="s">
        <v>107</v>
      </c>
      <c r="O60" s="3" t="s">
        <v>86</v>
      </c>
      <c r="P60" s="3" t="s">
        <v>107</v>
      </c>
      <c r="Q60" s="3" t="s">
        <v>252</v>
      </c>
      <c r="R60" s="3" t="s">
        <v>253</v>
      </c>
      <c r="S60" s="3" t="s">
        <v>110</v>
      </c>
      <c r="T60" s="3" t="s">
        <v>34</v>
      </c>
      <c r="U60" s="3" t="s">
        <v>111</v>
      </c>
      <c r="V60" s="3" t="s">
        <v>44</v>
      </c>
      <c r="W60" s="3" t="s">
        <v>180</v>
      </c>
      <c r="X60" s="3" t="s">
        <v>14</v>
      </c>
      <c r="Y60" s="3" t="s">
        <v>254</v>
      </c>
      <c r="Z60" s="3" t="s">
        <v>182</v>
      </c>
    </row>
    <row r="61" customFormat="false" ht="41.75" hidden="false" customHeight="false" outlineLevel="0" collapsed="false">
      <c r="A61" s="3" t="s">
        <v>256</v>
      </c>
      <c r="B61" s="3" t="s">
        <v>257</v>
      </c>
      <c r="C61" s="3" t="s">
        <v>258</v>
      </c>
      <c r="D61" s="3" t="s">
        <v>259</v>
      </c>
      <c r="E61" s="3" t="s">
        <v>80</v>
      </c>
      <c r="F61" s="3" t="s">
        <v>30</v>
      </c>
      <c r="G61" s="3" t="s">
        <v>8</v>
      </c>
      <c r="H61" s="3" t="s">
        <v>260</v>
      </c>
      <c r="I61" s="3" t="s">
        <v>261</v>
      </c>
      <c r="J61" s="3" t="s">
        <v>86</v>
      </c>
      <c r="K61" s="3" t="s">
        <v>262</v>
      </c>
      <c r="L61" s="3" t="s">
        <v>66</v>
      </c>
      <c r="M61" s="3" t="s">
        <v>14</v>
      </c>
      <c r="N61" s="3" t="s">
        <v>37</v>
      </c>
      <c r="O61" s="3" t="s">
        <v>86</v>
      </c>
      <c r="P61" s="3" t="s">
        <v>107</v>
      </c>
      <c r="Q61" s="3" t="s">
        <v>263</v>
      </c>
      <c r="R61" s="3" t="s">
        <v>264</v>
      </c>
      <c r="S61" s="3" t="s">
        <v>265</v>
      </c>
      <c r="T61" s="3" t="s">
        <v>42</v>
      </c>
      <c r="U61" s="3" t="s">
        <v>43</v>
      </c>
      <c r="V61" s="3" t="s">
        <v>266</v>
      </c>
      <c r="W61" s="3" t="s">
        <v>180</v>
      </c>
      <c r="X61" s="3" t="s">
        <v>22</v>
      </c>
      <c r="Y61" s="3" t="s">
        <v>267</v>
      </c>
      <c r="Z61" s="3" t="s">
        <v>47</v>
      </c>
    </row>
    <row r="62" customFormat="false" ht="41.75" hidden="false" customHeight="false" outlineLevel="0" collapsed="false">
      <c r="A62" s="3" t="s">
        <v>268</v>
      </c>
      <c r="B62" s="3" t="s">
        <v>257</v>
      </c>
      <c r="C62" s="3" t="s">
        <v>258</v>
      </c>
      <c r="D62" s="3" t="s">
        <v>259</v>
      </c>
      <c r="E62" s="3" t="s">
        <v>80</v>
      </c>
      <c r="F62" s="3" t="s">
        <v>30</v>
      </c>
      <c r="G62" s="3" t="s">
        <v>8</v>
      </c>
      <c r="H62" s="3" t="s">
        <v>260</v>
      </c>
      <c r="I62" s="3" t="s">
        <v>261</v>
      </c>
      <c r="J62" s="3" t="s">
        <v>86</v>
      </c>
      <c r="K62" s="3" t="s">
        <v>262</v>
      </c>
      <c r="L62" s="3" t="s">
        <v>66</v>
      </c>
      <c r="M62" s="3" t="s">
        <v>14</v>
      </c>
      <c r="N62" s="3" t="s">
        <v>37</v>
      </c>
      <c r="O62" s="3" t="s">
        <v>86</v>
      </c>
      <c r="P62" s="3" t="s">
        <v>107</v>
      </c>
      <c r="Q62" s="3" t="s">
        <v>263</v>
      </c>
      <c r="R62" s="3" t="s">
        <v>264</v>
      </c>
      <c r="S62" s="3" t="s">
        <v>265</v>
      </c>
      <c r="T62" s="3" t="s">
        <v>42</v>
      </c>
      <c r="U62" s="3" t="s">
        <v>43</v>
      </c>
      <c r="V62" s="3" t="s">
        <v>266</v>
      </c>
      <c r="W62" s="3" t="s">
        <v>180</v>
      </c>
      <c r="X62" s="3" t="s">
        <v>22</v>
      </c>
      <c r="Y62" s="3" t="s">
        <v>267</v>
      </c>
      <c r="Z62" s="3" t="s">
        <v>47</v>
      </c>
    </row>
    <row r="63" customFormat="false" ht="41.75" hidden="false" customHeight="false" outlineLevel="0" collapsed="false">
      <c r="A63" s="3" t="s">
        <v>269</v>
      </c>
      <c r="B63" s="3" t="s">
        <v>270</v>
      </c>
      <c r="C63" s="3" t="s">
        <v>258</v>
      </c>
      <c r="D63" s="3" t="s">
        <v>80</v>
      </c>
      <c r="E63" s="3" t="s">
        <v>6</v>
      </c>
      <c r="F63" s="3" t="s">
        <v>30</v>
      </c>
      <c r="G63" s="3" t="s">
        <v>271</v>
      </c>
      <c r="H63" s="3" t="s">
        <v>272</v>
      </c>
      <c r="I63" s="3" t="s">
        <v>273</v>
      </c>
      <c r="J63" s="3" t="s">
        <v>231</v>
      </c>
      <c r="K63" s="3" t="s">
        <v>274</v>
      </c>
      <c r="L63" s="3" t="s">
        <v>66</v>
      </c>
      <c r="M63" s="3" t="s">
        <v>14</v>
      </c>
      <c r="N63" s="3" t="s">
        <v>37</v>
      </c>
      <c r="O63" s="3" t="s">
        <v>86</v>
      </c>
      <c r="P63" s="3" t="s">
        <v>107</v>
      </c>
      <c r="Q63" s="3" t="s">
        <v>275</v>
      </c>
      <c r="R63" s="3" t="s">
        <v>276</v>
      </c>
      <c r="S63" s="3" t="s">
        <v>277</v>
      </c>
      <c r="T63" s="3" t="s">
        <v>231</v>
      </c>
      <c r="U63" s="3" t="s">
        <v>278</v>
      </c>
      <c r="V63" s="3" t="s">
        <v>279</v>
      </c>
      <c r="W63" s="3" t="s">
        <v>180</v>
      </c>
      <c r="X63" s="3" t="s">
        <v>22</v>
      </c>
      <c r="Y63" s="3" t="s">
        <v>280</v>
      </c>
      <c r="Z63" s="3" t="s">
        <v>47</v>
      </c>
    </row>
    <row r="64" customFormat="false" ht="41.75" hidden="false" customHeight="false" outlineLevel="0" collapsed="false">
      <c r="A64" s="3" t="s">
        <v>281</v>
      </c>
      <c r="B64" s="3" t="s">
        <v>270</v>
      </c>
      <c r="C64" s="3" t="s">
        <v>258</v>
      </c>
      <c r="D64" s="3" t="s">
        <v>80</v>
      </c>
      <c r="E64" s="3" t="s">
        <v>6</v>
      </c>
      <c r="F64" s="3" t="s">
        <v>30</v>
      </c>
      <c r="G64" s="3" t="s">
        <v>271</v>
      </c>
      <c r="H64" s="3" t="s">
        <v>272</v>
      </c>
      <c r="I64" s="3" t="s">
        <v>273</v>
      </c>
      <c r="J64" s="3" t="s">
        <v>231</v>
      </c>
      <c r="K64" s="3" t="s">
        <v>274</v>
      </c>
      <c r="L64" s="3" t="s">
        <v>66</v>
      </c>
      <c r="M64" s="3" t="s">
        <v>14</v>
      </c>
      <c r="N64" s="3" t="s">
        <v>37</v>
      </c>
      <c r="O64" s="3" t="s">
        <v>86</v>
      </c>
      <c r="P64" s="3" t="s">
        <v>107</v>
      </c>
      <c r="Q64" s="3" t="s">
        <v>275</v>
      </c>
      <c r="R64" s="3" t="s">
        <v>276</v>
      </c>
      <c r="S64" s="3" t="s">
        <v>277</v>
      </c>
      <c r="T64" s="3" t="s">
        <v>231</v>
      </c>
      <c r="U64" s="3" t="s">
        <v>278</v>
      </c>
      <c r="V64" s="3" t="s">
        <v>279</v>
      </c>
      <c r="W64" s="3" t="s">
        <v>180</v>
      </c>
      <c r="X64" s="3" t="s">
        <v>22</v>
      </c>
      <c r="Y64" s="3" t="s">
        <v>280</v>
      </c>
      <c r="Z64" s="3" t="s">
        <v>47</v>
      </c>
    </row>
    <row r="65" customFormat="false" ht="41.75" hidden="false" customHeight="false" outlineLevel="0" collapsed="false">
      <c r="A65" s="3" t="s">
        <v>282</v>
      </c>
      <c r="B65" s="3" t="s">
        <v>283</v>
      </c>
      <c r="C65" s="3" t="s">
        <v>59</v>
      </c>
      <c r="D65" s="3" t="s">
        <v>61</v>
      </c>
      <c r="E65" s="3" t="s">
        <v>29</v>
      </c>
      <c r="F65" s="3" t="s">
        <v>30</v>
      </c>
      <c r="G65" s="3" t="s">
        <v>8</v>
      </c>
      <c r="H65" s="3" t="s">
        <v>284</v>
      </c>
      <c r="I65" s="3" t="s">
        <v>285</v>
      </c>
      <c r="J65" s="3" t="s">
        <v>34</v>
      </c>
      <c r="K65" s="3" t="s">
        <v>35</v>
      </c>
      <c r="L65" s="3" t="s">
        <v>202</v>
      </c>
      <c r="M65" s="3" t="s">
        <v>14</v>
      </c>
      <c r="N65" s="3" t="s">
        <v>37</v>
      </c>
      <c r="O65" s="3" t="s">
        <v>86</v>
      </c>
      <c r="P65" s="3" t="s">
        <v>107</v>
      </c>
      <c r="Q65" s="3" t="s">
        <v>286</v>
      </c>
      <c r="R65" s="3" t="s">
        <v>287</v>
      </c>
      <c r="S65" s="3" t="s">
        <v>41</v>
      </c>
      <c r="T65" s="3" t="s">
        <v>42</v>
      </c>
      <c r="U65" s="3" t="s">
        <v>90</v>
      </c>
      <c r="V65" s="3" t="s">
        <v>44</v>
      </c>
      <c r="W65" s="3" t="s">
        <v>180</v>
      </c>
      <c r="X65" s="3" t="s">
        <v>22</v>
      </c>
      <c r="Y65" s="3" t="s">
        <v>288</v>
      </c>
      <c r="Z65" s="3" t="s">
        <v>47</v>
      </c>
    </row>
    <row r="66" customFormat="false" ht="41.75" hidden="false" customHeight="false" outlineLevel="0" collapsed="false">
      <c r="A66" s="3" t="s">
        <v>289</v>
      </c>
      <c r="B66" s="3" t="s">
        <v>283</v>
      </c>
      <c r="C66" s="3" t="s">
        <v>59</v>
      </c>
      <c r="D66" s="3" t="s">
        <v>61</v>
      </c>
      <c r="E66" s="3" t="s">
        <v>29</v>
      </c>
      <c r="F66" s="3" t="s">
        <v>30</v>
      </c>
      <c r="G66" s="3" t="s">
        <v>8</v>
      </c>
      <c r="H66" s="3" t="s">
        <v>284</v>
      </c>
      <c r="I66" s="3" t="s">
        <v>285</v>
      </c>
      <c r="J66" s="3" t="s">
        <v>34</v>
      </c>
      <c r="K66" s="3" t="s">
        <v>35</v>
      </c>
      <c r="L66" s="3" t="s">
        <v>202</v>
      </c>
      <c r="M66" s="3" t="s">
        <v>14</v>
      </c>
      <c r="N66" s="3" t="s">
        <v>37</v>
      </c>
      <c r="O66" s="3" t="s">
        <v>86</v>
      </c>
      <c r="P66" s="3" t="s">
        <v>107</v>
      </c>
      <c r="Q66" s="3" t="s">
        <v>286</v>
      </c>
      <c r="R66" s="3" t="s">
        <v>287</v>
      </c>
      <c r="S66" s="3" t="s">
        <v>41</v>
      </c>
      <c r="T66" s="3" t="s">
        <v>42</v>
      </c>
      <c r="U66" s="3" t="s">
        <v>90</v>
      </c>
      <c r="V66" s="3" t="s">
        <v>44</v>
      </c>
      <c r="W66" s="3" t="s">
        <v>180</v>
      </c>
      <c r="X66" s="3" t="s">
        <v>22</v>
      </c>
      <c r="Y66" s="3" t="s">
        <v>288</v>
      </c>
      <c r="Z66" s="3" t="s">
        <v>47</v>
      </c>
    </row>
    <row r="67" customFormat="false" ht="41.75" hidden="false" customHeight="false" outlineLevel="0" collapsed="false">
      <c r="A67" s="3" t="s">
        <v>290</v>
      </c>
      <c r="B67" s="3" t="s">
        <v>291</v>
      </c>
      <c r="C67" s="3" t="s">
        <v>59</v>
      </c>
      <c r="D67" s="3" t="s">
        <v>61</v>
      </c>
      <c r="E67" s="3" t="s">
        <v>29</v>
      </c>
      <c r="F67" s="3" t="s">
        <v>30</v>
      </c>
      <c r="G67" s="3" t="s">
        <v>8</v>
      </c>
      <c r="H67" s="3" t="s">
        <v>284</v>
      </c>
      <c r="I67" s="3" t="s">
        <v>285</v>
      </c>
      <c r="J67" s="3" t="s">
        <v>34</v>
      </c>
      <c r="K67" s="3" t="s">
        <v>35</v>
      </c>
      <c r="L67" s="3" t="s">
        <v>202</v>
      </c>
      <c r="M67" s="3" t="s">
        <v>14</v>
      </c>
      <c r="N67" s="3" t="s">
        <v>37</v>
      </c>
      <c r="O67" s="3" t="s">
        <v>86</v>
      </c>
      <c r="P67" s="3" t="s">
        <v>107</v>
      </c>
      <c r="Q67" s="3" t="s">
        <v>286</v>
      </c>
      <c r="R67" s="3" t="s">
        <v>287</v>
      </c>
      <c r="S67" s="3" t="s">
        <v>41</v>
      </c>
      <c r="T67" s="3" t="s">
        <v>42</v>
      </c>
      <c r="U67" s="3" t="s">
        <v>90</v>
      </c>
      <c r="V67" s="3" t="s">
        <v>44</v>
      </c>
      <c r="W67" s="3" t="s">
        <v>45</v>
      </c>
      <c r="X67" s="3" t="s">
        <v>22</v>
      </c>
      <c r="Y67" s="3" t="s">
        <v>288</v>
      </c>
      <c r="Z67" s="3" t="s">
        <v>47</v>
      </c>
    </row>
    <row r="68" customFormat="false" ht="41.75" hidden="false" customHeight="false" outlineLevel="0" collapsed="false">
      <c r="A68" s="3" t="s">
        <v>292</v>
      </c>
      <c r="B68" s="3" t="s">
        <v>293</v>
      </c>
      <c r="C68" s="3" t="s">
        <v>59</v>
      </c>
      <c r="D68" s="3" t="s">
        <v>61</v>
      </c>
      <c r="E68" s="3" t="s">
        <v>29</v>
      </c>
      <c r="F68" s="3" t="s">
        <v>30</v>
      </c>
      <c r="G68" s="3" t="s">
        <v>8</v>
      </c>
      <c r="H68" s="3" t="s">
        <v>284</v>
      </c>
      <c r="I68" s="3" t="s">
        <v>285</v>
      </c>
      <c r="J68" s="3" t="s">
        <v>34</v>
      </c>
      <c r="K68" s="3" t="s">
        <v>35</v>
      </c>
      <c r="L68" s="3" t="s">
        <v>202</v>
      </c>
      <c r="M68" s="3" t="s">
        <v>14</v>
      </c>
      <c r="N68" s="3" t="s">
        <v>37</v>
      </c>
      <c r="O68" s="3" t="s">
        <v>86</v>
      </c>
      <c r="P68" s="3" t="s">
        <v>107</v>
      </c>
      <c r="Q68" s="3" t="s">
        <v>286</v>
      </c>
      <c r="R68" s="3" t="s">
        <v>287</v>
      </c>
      <c r="S68" s="3" t="s">
        <v>294</v>
      </c>
      <c r="T68" s="3" t="s">
        <v>34</v>
      </c>
      <c r="U68" s="3" t="s">
        <v>90</v>
      </c>
      <c r="V68" s="3" t="s">
        <v>44</v>
      </c>
      <c r="W68" s="3" t="s">
        <v>180</v>
      </c>
      <c r="X68" s="3" t="s">
        <v>22</v>
      </c>
      <c r="Y68" s="3" t="s">
        <v>288</v>
      </c>
      <c r="Z68" s="3" t="s">
        <v>47</v>
      </c>
    </row>
    <row r="69" customFormat="false" ht="41.75" hidden="false" customHeight="false" outlineLevel="0" collapsed="false">
      <c r="A69" s="3" t="s">
        <v>295</v>
      </c>
      <c r="B69" s="3" t="s">
        <v>296</v>
      </c>
      <c r="C69" s="3" t="s">
        <v>59</v>
      </c>
      <c r="D69" s="3" t="s">
        <v>61</v>
      </c>
      <c r="E69" s="3" t="s">
        <v>29</v>
      </c>
      <c r="F69" s="3" t="s">
        <v>30</v>
      </c>
      <c r="G69" s="3" t="s">
        <v>8</v>
      </c>
      <c r="H69" s="3" t="s">
        <v>284</v>
      </c>
      <c r="I69" s="3" t="s">
        <v>285</v>
      </c>
      <c r="J69" s="3" t="s">
        <v>34</v>
      </c>
      <c r="K69" s="3" t="s">
        <v>35</v>
      </c>
      <c r="L69" s="3" t="s">
        <v>202</v>
      </c>
      <c r="M69" s="3" t="s">
        <v>14</v>
      </c>
      <c r="N69" s="3" t="s">
        <v>37</v>
      </c>
      <c r="O69" s="3" t="s">
        <v>86</v>
      </c>
      <c r="P69" s="3" t="s">
        <v>107</v>
      </c>
      <c r="Q69" s="3" t="s">
        <v>286</v>
      </c>
      <c r="R69" s="3" t="s">
        <v>287</v>
      </c>
      <c r="S69" s="3" t="s">
        <v>18</v>
      </c>
      <c r="T69" s="3" t="s">
        <v>11</v>
      </c>
      <c r="U69" s="3" t="s">
        <v>19</v>
      </c>
      <c r="V69" s="3" t="s">
        <v>44</v>
      </c>
      <c r="W69" s="3" t="s">
        <v>21</v>
      </c>
      <c r="X69" s="3" t="s">
        <v>14</v>
      </c>
      <c r="Y69" s="3" t="s">
        <v>288</v>
      </c>
      <c r="Z69" s="3" t="s">
        <v>47</v>
      </c>
    </row>
    <row r="70" customFormat="false" ht="41.75" hidden="false" customHeight="false" outlineLevel="0" collapsed="false">
      <c r="A70" s="3" t="s">
        <v>297</v>
      </c>
      <c r="B70" s="3" t="s">
        <v>296</v>
      </c>
      <c r="C70" s="3" t="s">
        <v>59</v>
      </c>
      <c r="D70" s="3" t="s">
        <v>61</v>
      </c>
      <c r="E70" s="3" t="s">
        <v>29</v>
      </c>
      <c r="F70" s="3" t="s">
        <v>30</v>
      </c>
      <c r="G70" s="3" t="s">
        <v>8</v>
      </c>
      <c r="H70" s="3" t="s">
        <v>284</v>
      </c>
      <c r="I70" s="3" t="s">
        <v>285</v>
      </c>
      <c r="J70" s="3" t="s">
        <v>34</v>
      </c>
      <c r="K70" s="3" t="s">
        <v>35</v>
      </c>
      <c r="L70" s="3" t="s">
        <v>202</v>
      </c>
      <c r="M70" s="3" t="s">
        <v>14</v>
      </c>
      <c r="N70" s="3" t="s">
        <v>37</v>
      </c>
      <c r="O70" s="3" t="s">
        <v>86</v>
      </c>
      <c r="P70" s="3" t="s">
        <v>107</v>
      </c>
      <c r="Q70" s="3" t="s">
        <v>286</v>
      </c>
      <c r="R70" s="3" t="s">
        <v>287</v>
      </c>
      <c r="S70" s="3" t="s">
        <v>18</v>
      </c>
      <c r="T70" s="3" t="s">
        <v>11</v>
      </c>
      <c r="U70" s="3" t="s">
        <v>19</v>
      </c>
      <c r="V70" s="3" t="s">
        <v>44</v>
      </c>
      <c r="W70" s="3" t="s">
        <v>21</v>
      </c>
      <c r="X70" s="3" t="s">
        <v>14</v>
      </c>
      <c r="Y70" s="3" t="s">
        <v>288</v>
      </c>
      <c r="Z70" s="3" t="s">
        <v>47</v>
      </c>
    </row>
    <row r="71" customFormat="false" ht="41.75" hidden="false" customHeight="false" outlineLevel="0" collapsed="false">
      <c r="A71" s="3" t="s">
        <v>298</v>
      </c>
      <c r="B71" s="3" t="s">
        <v>299</v>
      </c>
      <c r="C71" s="3" t="s">
        <v>59</v>
      </c>
      <c r="D71" s="3" t="s">
        <v>61</v>
      </c>
      <c r="E71" s="3" t="s">
        <v>29</v>
      </c>
      <c r="F71" s="3" t="s">
        <v>30</v>
      </c>
      <c r="G71" s="3" t="s">
        <v>8</v>
      </c>
      <c r="H71" s="3" t="s">
        <v>284</v>
      </c>
      <c r="I71" s="3" t="s">
        <v>285</v>
      </c>
      <c r="J71" s="3" t="s">
        <v>34</v>
      </c>
      <c r="K71" s="3" t="s">
        <v>35</v>
      </c>
      <c r="L71" s="3" t="s">
        <v>202</v>
      </c>
      <c r="M71" s="3" t="s">
        <v>14</v>
      </c>
      <c r="N71" s="3" t="s">
        <v>37</v>
      </c>
      <c r="O71" s="3" t="s">
        <v>86</v>
      </c>
      <c r="P71" s="3" t="s">
        <v>107</v>
      </c>
      <c r="Q71" s="3" t="s">
        <v>286</v>
      </c>
      <c r="R71" s="3" t="s">
        <v>287</v>
      </c>
      <c r="S71" s="3" t="s">
        <v>300</v>
      </c>
      <c r="T71" s="3" t="s">
        <v>34</v>
      </c>
      <c r="U71" s="3" t="s">
        <v>90</v>
      </c>
      <c r="V71" s="3" t="s">
        <v>44</v>
      </c>
      <c r="W71" s="3" t="s">
        <v>180</v>
      </c>
      <c r="X71" s="3" t="s">
        <v>22</v>
      </c>
      <c r="Y71" s="3" t="s">
        <v>288</v>
      </c>
      <c r="Z71" s="3" t="s">
        <v>47</v>
      </c>
    </row>
    <row r="72" customFormat="false" ht="41.75" hidden="false" customHeight="false" outlineLevel="0" collapsed="false">
      <c r="A72" s="3" t="s">
        <v>301</v>
      </c>
      <c r="B72" s="3" t="s">
        <v>299</v>
      </c>
      <c r="C72" s="3" t="s">
        <v>59</v>
      </c>
      <c r="D72" s="3" t="s">
        <v>61</v>
      </c>
      <c r="E72" s="3" t="s">
        <v>29</v>
      </c>
      <c r="F72" s="3" t="s">
        <v>30</v>
      </c>
      <c r="G72" s="3" t="s">
        <v>8</v>
      </c>
      <c r="H72" s="3" t="s">
        <v>284</v>
      </c>
      <c r="I72" s="3" t="s">
        <v>285</v>
      </c>
      <c r="J72" s="3" t="s">
        <v>34</v>
      </c>
      <c r="K72" s="3" t="s">
        <v>35</v>
      </c>
      <c r="L72" s="3" t="s">
        <v>202</v>
      </c>
      <c r="M72" s="3" t="s">
        <v>14</v>
      </c>
      <c r="N72" s="3" t="s">
        <v>37</v>
      </c>
      <c r="O72" s="3" t="s">
        <v>86</v>
      </c>
      <c r="P72" s="3" t="s">
        <v>107</v>
      </c>
      <c r="Q72" s="3" t="s">
        <v>286</v>
      </c>
      <c r="R72" s="3" t="s">
        <v>287</v>
      </c>
      <c r="S72" s="3" t="s">
        <v>300</v>
      </c>
      <c r="T72" s="3" t="s">
        <v>34</v>
      </c>
      <c r="U72" s="3" t="s">
        <v>90</v>
      </c>
      <c r="V72" s="3" t="s">
        <v>44</v>
      </c>
      <c r="W72" s="3" t="s">
        <v>180</v>
      </c>
      <c r="X72" s="3" t="s">
        <v>22</v>
      </c>
      <c r="Y72" s="3" t="s">
        <v>288</v>
      </c>
      <c r="Z72" s="3" t="s">
        <v>47</v>
      </c>
    </row>
    <row r="73" customFormat="false" ht="41.75" hidden="false" customHeight="false" outlineLevel="0" collapsed="false">
      <c r="A73" s="3" t="s">
        <v>302</v>
      </c>
      <c r="B73" s="3" t="s">
        <v>303</v>
      </c>
      <c r="C73" s="3" t="s">
        <v>59</v>
      </c>
      <c r="D73" s="3" t="s">
        <v>61</v>
      </c>
      <c r="E73" s="3" t="s">
        <v>29</v>
      </c>
      <c r="F73" s="3" t="s">
        <v>30</v>
      </c>
      <c r="G73" s="3" t="s">
        <v>8</v>
      </c>
      <c r="H73" s="3" t="s">
        <v>284</v>
      </c>
      <c r="I73" s="3" t="s">
        <v>285</v>
      </c>
      <c r="J73" s="3" t="s">
        <v>34</v>
      </c>
      <c r="K73" s="3" t="s">
        <v>35</v>
      </c>
      <c r="L73" s="3" t="s">
        <v>202</v>
      </c>
      <c r="M73" s="3" t="s">
        <v>14</v>
      </c>
      <c r="N73" s="3" t="s">
        <v>37</v>
      </c>
      <c r="O73" s="3" t="s">
        <v>86</v>
      </c>
      <c r="P73" s="3" t="s">
        <v>107</v>
      </c>
      <c r="Q73" s="3" t="s">
        <v>286</v>
      </c>
      <c r="R73" s="3" t="s">
        <v>287</v>
      </c>
      <c r="S73" s="3" t="s">
        <v>304</v>
      </c>
      <c r="T73" s="3" t="s">
        <v>34</v>
      </c>
      <c r="U73" s="3" t="s">
        <v>43</v>
      </c>
      <c r="V73" s="3" t="s">
        <v>44</v>
      </c>
      <c r="W73" s="3" t="s">
        <v>180</v>
      </c>
      <c r="X73" s="3" t="s">
        <v>22</v>
      </c>
      <c r="Y73" s="3" t="s">
        <v>288</v>
      </c>
      <c r="Z73" s="3" t="s">
        <v>47</v>
      </c>
    </row>
    <row r="74" customFormat="false" ht="41.75" hidden="false" customHeight="false" outlineLevel="0" collapsed="false">
      <c r="A74" s="3" t="s">
        <v>305</v>
      </c>
      <c r="B74" s="3" t="s">
        <v>303</v>
      </c>
      <c r="C74" s="3" t="s">
        <v>59</v>
      </c>
      <c r="D74" s="3" t="s">
        <v>61</v>
      </c>
      <c r="E74" s="3" t="s">
        <v>29</v>
      </c>
      <c r="F74" s="3" t="s">
        <v>30</v>
      </c>
      <c r="G74" s="3" t="s">
        <v>8</v>
      </c>
      <c r="H74" s="3" t="s">
        <v>284</v>
      </c>
      <c r="I74" s="3" t="s">
        <v>285</v>
      </c>
      <c r="J74" s="3" t="s">
        <v>34</v>
      </c>
      <c r="K74" s="3" t="s">
        <v>35</v>
      </c>
      <c r="L74" s="3" t="s">
        <v>202</v>
      </c>
      <c r="M74" s="3" t="s">
        <v>14</v>
      </c>
      <c r="N74" s="3" t="s">
        <v>37</v>
      </c>
      <c r="O74" s="3" t="s">
        <v>86</v>
      </c>
      <c r="P74" s="3" t="s">
        <v>107</v>
      </c>
      <c r="Q74" s="3" t="s">
        <v>286</v>
      </c>
      <c r="R74" s="3" t="s">
        <v>287</v>
      </c>
      <c r="S74" s="3" t="s">
        <v>304</v>
      </c>
      <c r="T74" s="3" t="s">
        <v>34</v>
      </c>
      <c r="U74" s="3" t="s">
        <v>43</v>
      </c>
      <c r="V74" s="3" t="s">
        <v>44</v>
      </c>
      <c r="W74" s="3" t="s">
        <v>180</v>
      </c>
      <c r="X74" s="3" t="s">
        <v>22</v>
      </c>
      <c r="Y74" s="3" t="s">
        <v>288</v>
      </c>
      <c r="Z74" s="3" t="s">
        <v>47</v>
      </c>
    </row>
    <row r="75" customFormat="false" ht="41.75" hidden="false" customHeight="false" outlineLevel="0" collapsed="false">
      <c r="A75" s="3" t="s">
        <v>306</v>
      </c>
      <c r="B75" s="3" t="s">
        <v>307</v>
      </c>
      <c r="C75" s="3" t="s">
        <v>59</v>
      </c>
      <c r="D75" s="3" t="s">
        <v>61</v>
      </c>
      <c r="E75" s="3" t="s">
        <v>29</v>
      </c>
      <c r="F75" s="3" t="s">
        <v>30</v>
      </c>
      <c r="G75" s="3" t="s">
        <v>8</v>
      </c>
      <c r="H75" s="3" t="s">
        <v>284</v>
      </c>
      <c r="I75" s="3" t="s">
        <v>285</v>
      </c>
      <c r="J75" s="3" t="s">
        <v>34</v>
      </c>
      <c r="K75" s="3" t="s">
        <v>35</v>
      </c>
      <c r="L75" s="3" t="s">
        <v>202</v>
      </c>
      <c r="M75" s="3" t="s">
        <v>14</v>
      </c>
      <c r="N75" s="3" t="s">
        <v>37</v>
      </c>
      <c r="O75" s="3" t="s">
        <v>86</v>
      </c>
      <c r="P75" s="3" t="s">
        <v>107</v>
      </c>
      <c r="Q75" s="3" t="s">
        <v>286</v>
      </c>
      <c r="R75" s="3" t="s">
        <v>287</v>
      </c>
      <c r="S75" s="3" t="s">
        <v>308</v>
      </c>
      <c r="T75" s="3" t="s">
        <v>34</v>
      </c>
      <c r="U75" s="3" t="s">
        <v>90</v>
      </c>
      <c r="V75" s="3" t="s">
        <v>44</v>
      </c>
      <c r="W75" s="3" t="s">
        <v>180</v>
      </c>
      <c r="X75" s="3" t="s">
        <v>22</v>
      </c>
      <c r="Y75" s="3" t="s">
        <v>288</v>
      </c>
      <c r="Z75" s="3" t="s">
        <v>47</v>
      </c>
    </row>
    <row r="76" customFormat="false" ht="41.75" hidden="false" customHeight="false" outlineLevel="0" collapsed="false">
      <c r="A76" s="3" t="s">
        <v>309</v>
      </c>
      <c r="B76" s="3" t="s">
        <v>307</v>
      </c>
      <c r="C76" s="3" t="s">
        <v>59</v>
      </c>
      <c r="D76" s="3" t="s">
        <v>61</v>
      </c>
      <c r="E76" s="3" t="s">
        <v>29</v>
      </c>
      <c r="F76" s="3" t="s">
        <v>30</v>
      </c>
      <c r="G76" s="3" t="s">
        <v>8</v>
      </c>
      <c r="H76" s="3" t="s">
        <v>284</v>
      </c>
      <c r="I76" s="3" t="s">
        <v>285</v>
      </c>
      <c r="J76" s="3" t="s">
        <v>34</v>
      </c>
      <c r="K76" s="3" t="s">
        <v>35</v>
      </c>
      <c r="L76" s="3" t="s">
        <v>202</v>
      </c>
      <c r="M76" s="3" t="s">
        <v>14</v>
      </c>
      <c r="N76" s="3" t="s">
        <v>37</v>
      </c>
      <c r="O76" s="3" t="s">
        <v>86</v>
      </c>
      <c r="P76" s="3" t="s">
        <v>107</v>
      </c>
      <c r="Q76" s="3" t="s">
        <v>286</v>
      </c>
      <c r="R76" s="3" t="s">
        <v>287</v>
      </c>
      <c r="S76" s="3" t="s">
        <v>308</v>
      </c>
      <c r="T76" s="3" t="s">
        <v>34</v>
      </c>
      <c r="U76" s="3" t="s">
        <v>90</v>
      </c>
      <c r="V76" s="3" t="s">
        <v>44</v>
      </c>
      <c r="W76" s="3" t="s">
        <v>180</v>
      </c>
      <c r="X76" s="3" t="s">
        <v>22</v>
      </c>
      <c r="Y76" s="3" t="s">
        <v>288</v>
      </c>
      <c r="Z76" s="3" t="s">
        <v>47</v>
      </c>
    </row>
    <row r="77" customFormat="false" ht="41.75" hidden="false" customHeight="false" outlineLevel="0" collapsed="false">
      <c r="A77" s="3" t="s">
        <v>310</v>
      </c>
      <c r="B77" s="3" t="s">
        <v>311</v>
      </c>
      <c r="C77" s="3" t="s">
        <v>59</v>
      </c>
      <c r="D77" s="3" t="s">
        <v>61</v>
      </c>
      <c r="E77" s="3" t="s">
        <v>29</v>
      </c>
      <c r="F77" s="3" t="s">
        <v>30</v>
      </c>
      <c r="G77" s="3" t="s">
        <v>8</v>
      </c>
      <c r="H77" s="3" t="s">
        <v>284</v>
      </c>
      <c r="I77" s="3" t="s">
        <v>285</v>
      </c>
      <c r="J77" s="3" t="s">
        <v>34</v>
      </c>
      <c r="K77" s="3" t="s">
        <v>35</v>
      </c>
      <c r="L77" s="3" t="s">
        <v>202</v>
      </c>
      <c r="M77" s="3" t="s">
        <v>14</v>
      </c>
      <c r="N77" s="3" t="s">
        <v>37</v>
      </c>
      <c r="O77" s="3" t="s">
        <v>86</v>
      </c>
      <c r="P77" s="3" t="s">
        <v>107</v>
      </c>
      <c r="Q77" s="3" t="s">
        <v>286</v>
      </c>
      <c r="R77" s="3" t="s">
        <v>287</v>
      </c>
      <c r="S77" s="3" t="s">
        <v>312</v>
      </c>
      <c r="T77" s="3" t="s">
        <v>34</v>
      </c>
      <c r="U77" s="3" t="s">
        <v>90</v>
      </c>
      <c r="V77" s="3" t="s">
        <v>44</v>
      </c>
      <c r="W77" s="3" t="s">
        <v>180</v>
      </c>
      <c r="X77" s="3" t="s">
        <v>22</v>
      </c>
      <c r="Y77" s="3" t="s">
        <v>288</v>
      </c>
      <c r="Z77" s="3" t="s">
        <v>47</v>
      </c>
    </row>
    <row r="78" customFormat="false" ht="41.75" hidden="false" customHeight="false" outlineLevel="0" collapsed="false">
      <c r="A78" s="3" t="s">
        <v>313</v>
      </c>
      <c r="B78" s="3" t="s">
        <v>314</v>
      </c>
      <c r="C78" s="3" t="s">
        <v>59</v>
      </c>
      <c r="D78" s="3" t="s">
        <v>61</v>
      </c>
      <c r="E78" s="3" t="s">
        <v>29</v>
      </c>
      <c r="F78" s="3" t="s">
        <v>30</v>
      </c>
      <c r="G78" s="3" t="s">
        <v>8</v>
      </c>
      <c r="H78" s="3" t="s">
        <v>284</v>
      </c>
      <c r="I78" s="3" t="s">
        <v>285</v>
      </c>
      <c r="J78" s="3" t="s">
        <v>34</v>
      </c>
      <c r="K78" s="3" t="s">
        <v>35</v>
      </c>
      <c r="L78" s="3" t="s">
        <v>202</v>
      </c>
      <c r="M78" s="3" t="s">
        <v>14</v>
      </c>
      <c r="N78" s="3" t="s">
        <v>37</v>
      </c>
      <c r="O78" s="3" t="s">
        <v>86</v>
      </c>
      <c r="P78" s="3" t="s">
        <v>107</v>
      </c>
      <c r="Q78" s="3" t="s">
        <v>286</v>
      </c>
      <c r="R78" s="3" t="s">
        <v>287</v>
      </c>
      <c r="S78" s="3" t="s">
        <v>315</v>
      </c>
      <c r="T78" s="3" t="s">
        <v>34</v>
      </c>
      <c r="U78" s="3" t="s">
        <v>90</v>
      </c>
      <c r="V78" s="3" t="s">
        <v>44</v>
      </c>
      <c r="W78" s="3" t="s">
        <v>180</v>
      </c>
      <c r="X78" s="3" t="s">
        <v>22</v>
      </c>
      <c r="Y78" s="3" t="s">
        <v>288</v>
      </c>
      <c r="Z78" s="3" t="s">
        <v>47</v>
      </c>
    </row>
    <row r="79" customFormat="false" ht="41.75" hidden="false" customHeight="false" outlineLevel="0" collapsed="false">
      <c r="A79" s="3" t="s">
        <v>316</v>
      </c>
      <c r="B79" s="3" t="s">
        <v>317</v>
      </c>
      <c r="C79" s="3" t="s">
        <v>59</v>
      </c>
      <c r="D79" s="3" t="s">
        <v>61</v>
      </c>
      <c r="E79" s="3" t="s">
        <v>29</v>
      </c>
      <c r="F79" s="3" t="s">
        <v>30</v>
      </c>
      <c r="G79" s="3" t="s">
        <v>8</v>
      </c>
      <c r="H79" s="3" t="s">
        <v>284</v>
      </c>
      <c r="I79" s="3" t="s">
        <v>285</v>
      </c>
      <c r="J79" s="3" t="s">
        <v>34</v>
      </c>
      <c r="K79" s="3" t="s">
        <v>35</v>
      </c>
      <c r="L79" s="3" t="s">
        <v>202</v>
      </c>
      <c r="M79" s="3" t="s">
        <v>14</v>
      </c>
      <c r="N79" s="3" t="s">
        <v>37</v>
      </c>
      <c r="O79" s="3" t="s">
        <v>86</v>
      </c>
      <c r="P79" s="3" t="s">
        <v>107</v>
      </c>
      <c r="Q79" s="3" t="s">
        <v>286</v>
      </c>
      <c r="R79" s="3" t="s">
        <v>287</v>
      </c>
      <c r="S79" s="3" t="s">
        <v>318</v>
      </c>
      <c r="T79" s="3" t="s">
        <v>34</v>
      </c>
      <c r="U79" s="3" t="s">
        <v>90</v>
      </c>
      <c r="V79" s="3" t="s">
        <v>44</v>
      </c>
      <c r="W79" s="3" t="s">
        <v>180</v>
      </c>
      <c r="X79" s="3" t="s">
        <v>22</v>
      </c>
      <c r="Y79" s="3" t="s">
        <v>288</v>
      </c>
      <c r="Z79" s="3" t="s">
        <v>47</v>
      </c>
    </row>
    <row r="80" customFormat="false" ht="41.75" hidden="false" customHeight="false" outlineLevel="0" collapsed="false">
      <c r="A80" s="3" t="s">
        <v>319</v>
      </c>
      <c r="B80" s="3" t="s">
        <v>320</v>
      </c>
      <c r="C80" s="3" t="s">
        <v>59</v>
      </c>
      <c r="D80" s="3" t="s">
        <v>61</v>
      </c>
      <c r="E80" s="3" t="s">
        <v>29</v>
      </c>
      <c r="F80" s="3" t="s">
        <v>30</v>
      </c>
      <c r="G80" s="3" t="s">
        <v>8</v>
      </c>
      <c r="H80" s="3" t="s">
        <v>284</v>
      </c>
      <c r="I80" s="3" t="s">
        <v>285</v>
      </c>
      <c r="J80" s="3" t="s">
        <v>34</v>
      </c>
      <c r="K80" s="3" t="s">
        <v>35</v>
      </c>
      <c r="L80" s="3" t="s">
        <v>202</v>
      </c>
      <c r="M80" s="3" t="s">
        <v>14</v>
      </c>
      <c r="N80" s="3" t="s">
        <v>37</v>
      </c>
      <c r="O80" s="3" t="s">
        <v>86</v>
      </c>
      <c r="P80" s="3" t="s">
        <v>107</v>
      </c>
      <c r="Q80" s="3" t="s">
        <v>286</v>
      </c>
      <c r="R80" s="3" t="s">
        <v>287</v>
      </c>
      <c r="S80" s="3" t="s">
        <v>321</v>
      </c>
      <c r="T80" s="3" t="s">
        <v>34</v>
      </c>
      <c r="U80" s="3" t="s">
        <v>90</v>
      </c>
      <c r="V80" s="3" t="s">
        <v>44</v>
      </c>
      <c r="W80" s="3" t="s">
        <v>180</v>
      </c>
      <c r="X80" s="3" t="s">
        <v>22</v>
      </c>
      <c r="Y80" s="3" t="s">
        <v>288</v>
      </c>
      <c r="Z80" s="3" t="s">
        <v>47</v>
      </c>
    </row>
    <row r="81" customFormat="false" ht="41.75" hidden="false" customHeight="false" outlineLevel="0" collapsed="false">
      <c r="A81" s="3" t="s">
        <v>322</v>
      </c>
      <c r="B81" s="3" t="s">
        <v>323</v>
      </c>
      <c r="C81" s="3" t="s">
        <v>59</v>
      </c>
      <c r="D81" s="3" t="s">
        <v>61</v>
      </c>
      <c r="E81" s="3" t="s">
        <v>29</v>
      </c>
      <c r="F81" s="3" t="s">
        <v>30</v>
      </c>
      <c r="G81" s="3" t="s">
        <v>8</v>
      </c>
      <c r="H81" s="3" t="s">
        <v>284</v>
      </c>
      <c r="I81" s="3" t="s">
        <v>285</v>
      </c>
      <c r="J81" s="3" t="s">
        <v>34</v>
      </c>
      <c r="K81" s="3" t="s">
        <v>35</v>
      </c>
      <c r="L81" s="3" t="s">
        <v>202</v>
      </c>
      <c r="M81" s="3" t="s">
        <v>14</v>
      </c>
      <c r="N81" s="3" t="s">
        <v>37</v>
      </c>
      <c r="O81" s="3" t="s">
        <v>86</v>
      </c>
      <c r="P81" s="3" t="s">
        <v>107</v>
      </c>
      <c r="Q81" s="3" t="s">
        <v>286</v>
      </c>
      <c r="R81" s="3" t="s">
        <v>287</v>
      </c>
      <c r="S81" s="3" t="s">
        <v>324</v>
      </c>
      <c r="T81" s="3" t="s">
        <v>34</v>
      </c>
      <c r="U81" s="3" t="s">
        <v>90</v>
      </c>
      <c r="V81" s="3" t="s">
        <v>44</v>
      </c>
      <c r="W81" s="3" t="s">
        <v>180</v>
      </c>
      <c r="X81" s="3" t="s">
        <v>22</v>
      </c>
      <c r="Y81" s="3" t="s">
        <v>288</v>
      </c>
      <c r="Z81" s="3" t="s">
        <v>47</v>
      </c>
    </row>
    <row r="82" customFormat="false" ht="41.75" hidden="false" customHeight="false" outlineLevel="0" collapsed="false">
      <c r="A82" s="3" t="s">
        <v>325</v>
      </c>
      <c r="B82" s="3" t="s">
        <v>326</v>
      </c>
      <c r="C82" s="3" t="s">
        <v>59</v>
      </c>
      <c r="D82" s="3" t="s">
        <v>61</v>
      </c>
      <c r="E82" s="3" t="s">
        <v>29</v>
      </c>
      <c r="F82" s="3" t="s">
        <v>30</v>
      </c>
      <c r="G82" s="3" t="s">
        <v>8</v>
      </c>
      <c r="H82" s="3" t="s">
        <v>284</v>
      </c>
      <c r="I82" s="3" t="s">
        <v>285</v>
      </c>
      <c r="J82" s="3" t="s">
        <v>34</v>
      </c>
      <c r="K82" s="3" t="s">
        <v>35</v>
      </c>
      <c r="L82" s="3" t="s">
        <v>202</v>
      </c>
      <c r="M82" s="3" t="s">
        <v>14</v>
      </c>
      <c r="N82" s="3" t="s">
        <v>37</v>
      </c>
      <c r="O82" s="3" t="s">
        <v>86</v>
      </c>
      <c r="P82" s="3" t="s">
        <v>107</v>
      </c>
      <c r="Q82" s="3" t="s">
        <v>286</v>
      </c>
      <c r="R82" s="3" t="s">
        <v>287</v>
      </c>
      <c r="S82" s="3" t="s">
        <v>193</v>
      </c>
      <c r="T82" s="3" t="s">
        <v>34</v>
      </c>
      <c r="U82" s="3" t="s">
        <v>90</v>
      </c>
      <c r="V82" s="3" t="s">
        <v>44</v>
      </c>
      <c r="W82" s="3" t="s">
        <v>180</v>
      </c>
      <c r="X82" s="3" t="s">
        <v>22</v>
      </c>
      <c r="Y82" s="3" t="s">
        <v>288</v>
      </c>
      <c r="Z82" s="3" t="s">
        <v>47</v>
      </c>
    </row>
    <row r="83" customFormat="false" ht="41.75" hidden="false" customHeight="false" outlineLevel="0" collapsed="false">
      <c r="A83" s="3" t="s">
        <v>327</v>
      </c>
      <c r="B83" s="3" t="s">
        <v>328</v>
      </c>
      <c r="C83" s="3" t="s">
        <v>59</v>
      </c>
      <c r="D83" s="3" t="s">
        <v>61</v>
      </c>
      <c r="E83" s="3" t="s">
        <v>29</v>
      </c>
      <c r="F83" s="3" t="s">
        <v>30</v>
      </c>
      <c r="G83" s="3" t="s">
        <v>8</v>
      </c>
      <c r="H83" s="3" t="s">
        <v>284</v>
      </c>
      <c r="I83" s="3" t="s">
        <v>285</v>
      </c>
      <c r="J83" s="3" t="s">
        <v>34</v>
      </c>
      <c r="K83" s="3" t="s">
        <v>35</v>
      </c>
      <c r="L83" s="3" t="s">
        <v>202</v>
      </c>
      <c r="M83" s="3" t="s">
        <v>14</v>
      </c>
      <c r="N83" s="3" t="s">
        <v>37</v>
      </c>
      <c r="O83" s="3" t="s">
        <v>86</v>
      </c>
      <c r="P83" s="3" t="s">
        <v>107</v>
      </c>
      <c r="Q83" s="3" t="s">
        <v>286</v>
      </c>
      <c r="R83" s="3" t="s">
        <v>287</v>
      </c>
      <c r="S83" s="3" t="s">
        <v>329</v>
      </c>
      <c r="T83" s="3" t="s">
        <v>34</v>
      </c>
      <c r="U83" s="3" t="s">
        <v>90</v>
      </c>
      <c r="V83" s="3" t="s">
        <v>44</v>
      </c>
      <c r="W83" s="3" t="s">
        <v>180</v>
      </c>
      <c r="X83" s="3" t="s">
        <v>22</v>
      </c>
      <c r="Y83" s="3" t="s">
        <v>288</v>
      </c>
      <c r="Z83" s="3" t="s">
        <v>47</v>
      </c>
    </row>
    <row r="84" customFormat="false" ht="41.75" hidden="false" customHeight="false" outlineLevel="0" collapsed="false">
      <c r="A84" s="3" t="s">
        <v>330</v>
      </c>
      <c r="B84" s="3" t="s">
        <v>331</v>
      </c>
      <c r="C84" s="3" t="s">
        <v>59</v>
      </c>
      <c r="D84" s="3" t="s">
        <v>61</v>
      </c>
      <c r="E84" s="3" t="s">
        <v>29</v>
      </c>
      <c r="F84" s="3" t="s">
        <v>30</v>
      </c>
      <c r="G84" s="3" t="s">
        <v>8</v>
      </c>
      <c r="H84" s="3" t="s">
        <v>284</v>
      </c>
      <c r="I84" s="3" t="s">
        <v>285</v>
      </c>
      <c r="J84" s="3" t="s">
        <v>34</v>
      </c>
      <c r="K84" s="3" t="s">
        <v>35</v>
      </c>
      <c r="L84" s="3" t="s">
        <v>202</v>
      </c>
      <c r="M84" s="3" t="s">
        <v>14</v>
      </c>
      <c r="N84" s="3" t="s">
        <v>37</v>
      </c>
      <c r="O84" s="3" t="s">
        <v>86</v>
      </c>
      <c r="P84" s="3" t="s">
        <v>107</v>
      </c>
      <c r="Q84" s="3" t="s">
        <v>286</v>
      </c>
      <c r="R84" s="3" t="s">
        <v>287</v>
      </c>
      <c r="S84" s="3" t="s">
        <v>41</v>
      </c>
      <c r="T84" s="3" t="s">
        <v>34</v>
      </c>
      <c r="U84" s="3" t="s">
        <v>90</v>
      </c>
      <c r="V84" s="3" t="s">
        <v>44</v>
      </c>
      <c r="W84" s="3" t="s">
        <v>180</v>
      </c>
      <c r="X84" s="3" t="s">
        <v>22</v>
      </c>
      <c r="Y84" s="3" t="s">
        <v>288</v>
      </c>
      <c r="Z84" s="3" t="s">
        <v>47</v>
      </c>
    </row>
    <row r="85" customFormat="false" ht="41.75" hidden="false" customHeight="false" outlineLevel="0" collapsed="false">
      <c r="A85" s="3" t="s">
        <v>332</v>
      </c>
      <c r="B85" s="3" t="s">
        <v>331</v>
      </c>
      <c r="C85" s="3" t="s">
        <v>59</v>
      </c>
      <c r="D85" s="3" t="s">
        <v>61</v>
      </c>
      <c r="E85" s="3" t="s">
        <v>29</v>
      </c>
      <c r="F85" s="3" t="s">
        <v>30</v>
      </c>
      <c r="G85" s="3" t="s">
        <v>8</v>
      </c>
      <c r="H85" s="3" t="s">
        <v>284</v>
      </c>
      <c r="I85" s="3" t="s">
        <v>285</v>
      </c>
      <c r="J85" s="3" t="s">
        <v>34</v>
      </c>
      <c r="K85" s="3" t="s">
        <v>35</v>
      </c>
      <c r="L85" s="3" t="s">
        <v>202</v>
      </c>
      <c r="M85" s="3" t="s">
        <v>14</v>
      </c>
      <c r="N85" s="3" t="s">
        <v>37</v>
      </c>
      <c r="O85" s="3" t="s">
        <v>86</v>
      </c>
      <c r="P85" s="3" t="s">
        <v>107</v>
      </c>
      <c r="Q85" s="3" t="s">
        <v>286</v>
      </c>
      <c r="R85" s="3" t="s">
        <v>287</v>
      </c>
      <c r="S85" s="3" t="s">
        <v>41</v>
      </c>
      <c r="T85" s="3" t="s">
        <v>34</v>
      </c>
      <c r="U85" s="3" t="s">
        <v>90</v>
      </c>
      <c r="V85" s="3" t="s">
        <v>44</v>
      </c>
      <c r="W85" s="3" t="s">
        <v>180</v>
      </c>
      <c r="X85" s="3" t="s">
        <v>22</v>
      </c>
      <c r="Y85" s="3" t="s">
        <v>288</v>
      </c>
      <c r="Z85" s="3" t="s">
        <v>47</v>
      </c>
    </row>
    <row r="86" customFormat="false" ht="41.75" hidden="false" customHeight="false" outlineLevel="0" collapsed="false">
      <c r="A86" s="3" t="s">
        <v>333</v>
      </c>
      <c r="B86" s="3" t="s">
        <v>334</v>
      </c>
      <c r="C86" s="3" t="s">
        <v>59</v>
      </c>
      <c r="D86" s="3" t="s">
        <v>61</v>
      </c>
      <c r="E86" s="3" t="s">
        <v>29</v>
      </c>
      <c r="F86" s="3" t="s">
        <v>30</v>
      </c>
      <c r="G86" s="3" t="s">
        <v>8</v>
      </c>
      <c r="H86" s="3" t="s">
        <v>284</v>
      </c>
      <c r="I86" s="3" t="s">
        <v>285</v>
      </c>
      <c r="J86" s="3" t="s">
        <v>34</v>
      </c>
      <c r="K86" s="3" t="s">
        <v>35</v>
      </c>
      <c r="L86" s="3" t="s">
        <v>202</v>
      </c>
      <c r="M86" s="3" t="s">
        <v>14</v>
      </c>
      <c r="N86" s="3" t="s">
        <v>37</v>
      </c>
      <c r="O86" s="3" t="s">
        <v>86</v>
      </c>
      <c r="P86" s="3" t="s">
        <v>107</v>
      </c>
      <c r="Q86" s="3" t="s">
        <v>286</v>
      </c>
      <c r="R86" s="3" t="s">
        <v>287</v>
      </c>
      <c r="S86" s="3" t="s">
        <v>193</v>
      </c>
      <c r="T86" s="3" t="s">
        <v>34</v>
      </c>
      <c r="U86" s="3" t="s">
        <v>90</v>
      </c>
      <c r="V86" s="3" t="s">
        <v>44</v>
      </c>
      <c r="W86" s="3" t="s">
        <v>180</v>
      </c>
      <c r="X86" s="3" t="s">
        <v>22</v>
      </c>
      <c r="Y86" s="3" t="s">
        <v>288</v>
      </c>
      <c r="Z86" s="3" t="s">
        <v>47</v>
      </c>
    </row>
    <row r="87" customFormat="false" ht="41.75" hidden="false" customHeight="false" outlineLevel="0" collapsed="false">
      <c r="A87" s="3" t="s">
        <v>335</v>
      </c>
      <c r="B87" s="3" t="s">
        <v>336</v>
      </c>
      <c r="C87" s="3" t="s">
        <v>59</v>
      </c>
      <c r="D87" s="3" t="s">
        <v>61</v>
      </c>
      <c r="E87" s="3" t="s">
        <v>29</v>
      </c>
      <c r="F87" s="3" t="s">
        <v>30</v>
      </c>
      <c r="G87" s="3" t="s">
        <v>8</v>
      </c>
      <c r="H87" s="3" t="s">
        <v>284</v>
      </c>
      <c r="I87" s="3" t="s">
        <v>285</v>
      </c>
      <c r="J87" s="3" t="s">
        <v>34</v>
      </c>
      <c r="K87" s="3" t="s">
        <v>35</v>
      </c>
      <c r="L87" s="3" t="s">
        <v>202</v>
      </c>
      <c r="M87" s="3" t="s">
        <v>14</v>
      </c>
      <c r="N87" s="3" t="s">
        <v>37</v>
      </c>
      <c r="O87" s="3" t="s">
        <v>86</v>
      </c>
      <c r="P87" s="3" t="s">
        <v>107</v>
      </c>
      <c r="Q87" s="3" t="s">
        <v>286</v>
      </c>
      <c r="R87" s="3" t="s">
        <v>287</v>
      </c>
      <c r="S87" s="3" t="s">
        <v>337</v>
      </c>
      <c r="T87" s="3" t="s">
        <v>34</v>
      </c>
      <c r="U87" s="3" t="s">
        <v>90</v>
      </c>
      <c r="V87" s="3" t="s">
        <v>44</v>
      </c>
      <c r="W87" s="3" t="s">
        <v>180</v>
      </c>
      <c r="X87" s="3" t="s">
        <v>22</v>
      </c>
      <c r="Y87" s="3" t="s">
        <v>288</v>
      </c>
      <c r="Z87" s="3" t="s">
        <v>47</v>
      </c>
    </row>
    <row r="88" customFormat="false" ht="41.75" hidden="false" customHeight="false" outlineLevel="0" collapsed="false">
      <c r="A88" s="3" t="s">
        <v>338</v>
      </c>
      <c r="B88" s="3" t="s">
        <v>339</v>
      </c>
      <c r="C88" s="3" t="s">
        <v>59</v>
      </c>
      <c r="D88" s="3" t="s">
        <v>61</v>
      </c>
      <c r="E88" s="3" t="s">
        <v>29</v>
      </c>
      <c r="F88" s="3" t="s">
        <v>30</v>
      </c>
      <c r="G88" s="3" t="s">
        <v>8</v>
      </c>
      <c r="H88" s="3" t="s">
        <v>284</v>
      </c>
      <c r="I88" s="3" t="s">
        <v>285</v>
      </c>
      <c r="J88" s="3" t="s">
        <v>34</v>
      </c>
      <c r="K88" s="3" t="s">
        <v>35</v>
      </c>
      <c r="L88" s="3" t="s">
        <v>202</v>
      </c>
      <c r="M88" s="3" t="s">
        <v>14</v>
      </c>
      <c r="N88" s="3" t="s">
        <v>37</v>
      </c>
      <c r="O88" s="3" t="s">
        <v>86</v>
      </c>
      <c r="P88" s="3" t="s">
        <v>107</v>
      </c>
      <c r="Q88" s="3" t="s">
        <v>286</v>
      </c>
      <c r="R88" s="3" t="s">
        <v>287</v>
      </c>
      <c r="S88" s="3" t="s">
        <v>340</v>
      </c>
      <c r="T88" s="3" t="s">
        <v>34</v>
      </c>
      <c r="U88" s="3" t="s">
        <v>90</v>
      </c>
      <c r="V88" s="3" t="s">
        <v>44</v>
      </c>
      <c r="W88" s="3" t="s">
        <v>180</v>
      </c>
      <c r="X88" s="3" t="s">
        <v>22</v>
      </c>
      <c r="Y88" s="3" t="s">
        <v>288</v>
      </c>
      <c r="Z88" s="3" t="s">
        <v>47</v>
      </c>
    </row>
    <row r="89" customFormat="false" ht="41.75" hidden="false" customHeight="false" outlineLevel="0" collapsed="false">
      <c r="A89" s="3" t="s">
        <v>341</v>
      </c>
      <c r="B89" s="3" t="s">
        <v>342</v>
      </c>
      <c r="C89" s="3" t="s">
        <v>59</v>
      </c>
      <c r="D89" s="3" t="s">
        <v>61</v>
      </c>
      <c r="E89" s="3" t="s">
        <v>29</v>
      </c>
      <c r="F89" s="3" t="s">
        <v>30</v>
      </c>
      <c r="G89" s="3" t="s">
        <v>8</v>
      </c>
      <c r="H89" s="3" t="s">
        <v>284</v>
      </c>
      <c r="I89" s="3" t="s">
        <v>285</v>
      </c>
      <c r="J89" s="3" t="s">
        <v>34</v>
      </c>
      <c r="K89" s="3" t="s">
        <v>35</v>
      </c>
      <c r="L89" s="3" t="s">
        <v>202</v>
      </c>
      <c r="M89" s="3" t="s">
        <v>14</v>
      </c>
      <c r="N89" s="3" t="s">
        <v>37</v>
      </c>
      <c r="O89" s="3" t="s">
        <v>86</v>
      </c>
      <c r="P89" s="3" t="s">
        <v>107</v>
      </c>
      <c r="Q89" s="3" t="s">
        <v>286</v>
      </c>
      <c r="R89" s="3" t="s">
        <v>287</v>
      </c>
      <c r="S89" s="3" t="s">
        <v>343</v>
      </c>
      <c r="T89" s="3" t="s">
        <v>34</v>
      </c>
      <c r="U89" s="3" t="s">
        <v>90</v>
      </c>
      <c r="V89" s="3" t="s">
        <v>44</v>
      </c>
      <c r="W89" s="3" t="s">
        <v>180</v>
      </c>
      <c r="X89" s="3" t="s">
        <v>22</v>
      </c>
      <c r="Y89" s="3" t="s">
        <v>288</v>
      </c>
      <c r="Z89" s="3" t="s">
        <v>47</v>
      </c>
    </row>
    <row r="90" customFormat="false" ht="41.75" hidden="false" customHeight="false" outlineLevel="0" collapsed="false">
      <c r="A90" s="3" t="s">
        <v>344</v>
      </c>
      <c r="B90" s="3" t="s">
        <v>345</v>
      </c>
      <c r="C90" s="3" t="s">
        <v>59</v>
      </c>
      <c r="D90" s="3" t="s">
        <v>61</v>
      </c>
      <c r="E90" s="3" t="s">
        <v>29</v>
      </c>
      <c r="F90" s="3" t="s">
        <v>30</v>
      </c>
      <c r="G90" s="3" t="s">
        <v>8</v>
      </c>
      <c r="H90" s="3" t="s">
        <v>284</v>
      </c>
      <c r="I90" s="3" t="s">
        <v>285</v>
      </c>
      <c r="J90" s="3" t="s">
        <v>34</v>
      </c>
      <c r="K90" s="3" t="s">
        <v>35</v>
      </c>
      <c r="L90" s="3" t="s">
        <v>202</v>
      </c>
      <c r="M90" s="3" t="s">
        <v>14</v>
      </c>
      <c r="N90" s="3" t="s">
        <v>37</v>
      </c>
      <c r="O90" s="3" t="s">
        <v>86</v>
      </c>
      <c r="P90" s="3" t="s">
        <v>107</v>
      </c>
      <c r="Q90" s="3" t="s">
        <v>286</v>
      </c>
      <c r="R90" s="3" t="s">
        <v>287</v>
      </c>
      <c r="S90" s="3" t="s">
        <v>346</v>
      </c>
      <c r="T90" s="3" t="s">
        <v>34</v>
      </c>
      <c r="U90" s="3" t="s">
        <v>90</v>
      </c>
      <c r="V90" s="3" t="s">
        <v>44</v>
      </c>
      <c r="W90" s="3" t="s">
        <v>180</v>
      </c>
      <c r="X90" s="3" t="s">
        <v>22</v>
      </c>
      <c r="Y90" s="3" t="s">
        <v>288</v>
      </c>
      <c r="Z90" s="3" t="s">
        <v>47</v>
      </c>
    </row>
    <row r="91" customFormat="false" ht="41.75" hidden="false" customHeight="false" outlineLevel="0" collapsed="false">
      <c r="A91" s="3" t="s">
        <v>347</v>
      </c>
      <c r="B91" s="3" t="s">
        <v>348</v>
      </c>
      <c r="C91" s="3" t="s">
        <v>59</v>
      </c>
      <c r="D91" s="3" t="s">
        <v>61</v>
      </c>
      <c r="E91" s="3" t="s">
        <v>29</v>
      </c>
      <c r="F91" s="3" t="s">
        <v>30</v>
      </c>
      <c r="G91" s="3" t="s">
        <v>8</v>
      </c>
      <c r="H91" s="3" t="s">
        <v>284</v>
      </c>
      <c r="I91" s="3" t="s">
        <v>285</v>
      </c>
      <c r="J91" s="3" t="s">
        <v>34</v>
      </c>
      <c r="K91" s="3" t="s">
        <v>35</v>
      </c>
      <c r="L91" s="3" t="s">
        <v>202</v>
      </c>
      <c r="M91" s="3" t="s">
        <v>14</v>
      </c>
      <c r="N91" s="3" t="s">
        <v>37</v>
      </c>
      <c r="O91" s="3" t="s">
        <v>86</v>
      </c>
      <c r="P91" s="3" t="s">
        <v>107</v>
      </c>
      <c r="Q91" s="3" t="s">
        <v>286</v>
      </c>
      <c r="R91" s="3" t="s">
        <v>287</v>
      </c>
      <c r="S91" s="3" t="s">
        <v>349</v>
      </c>
      <c r="T91" s="3" t="s">
        <v>34</v>
      </c>
      <c r="U91" s="3" t="s">
        <v>90</v>
      </c>
      <c r="V91" s="3" t="s">
        <v>44</v>
      </c>
      <c r="W91" s="3" t="s">
        <v>180</v>
      </c>
      <c r="X91" s="3" t="s">
        <v>22</v>
      </c>
      <c r="Y91" s="3" t="s">
        <v>288</v>
      </c>
      <c r="Z91" s="3" t="s">
        <v>47</v>
      </c>
    </row>
    <row r="92" customFormat="false" ht="41.75" hidden="false" customHeight="false" outlineLevel="0" collapsed="false">
      <c r="A92" s="3" t="s">
        <v>350</v>
      </c>
      <c r="B92" s="3" t="s">
        <v>351</v>
      </c>
      <c r="C92" s="3" t="s">
        <v>59</v>
      </c>
      <c r="D92" s="3" t="s">
        <v>61</v>
      </c>
      <c r="E92" s="3" t="s">
        <v>29</v>
      </c>
      <c r="F92" s="3" t="s">
        <v>30</v>
      </c>
      <c r="G92" s="3" t="s">
        <v>8</v>
      </c>
      <c r="H92" s="3" t="s">
        <v>284</v>
      </c>
      <c r="I92" s="3" t="s">
        <v>285</v>
      </c>
      <c r="J92" s="3" t="s">
        <v>34</v>
      </c>
      <c r="K92" s="3" t="s">
        <v>35</v>
      </c>
      <c r="L92" s="3" t="s">
        <v>202</v>
      </c>
      <c r="M92" s="3" t="s">
        <v>14</v>
      </c>
      <c r="N92" s="3" t="s">
        <v>37</v>
      </c>
      <c r="O92" s="3" t="s">
        <v>86</v>
      </c>
      <c r="P92" s="3" t="s">
        <v>107</v>
      </c>
      <c r="Q92" s="3" t="s">
        <v>286</v>
      </c>
      <c r="R92" s="3" t="s">
        <v>287</v>
      </c>
      <c r="S92" s="3" t="s">
        <v>41</v>
      </c>
      <c r="T92" s="3" t="s">
        <v>34</v>
      </c>
      <c r="U92" s="3" t="s">
        <v>90</v>
      </c>
      <c r="V92" s="3" t="s">
        <v>44</v>
      </c>
      <c r="W92" s="3" t="s">
        <v>180</v>
      </c>
      <c r="X92" s="3" t="s">
        <v>22</v>
      </c>
      <c r="Y92" s="3" t="s">
        <v>288</v>
      </c>
      <c r="Z92" s="3" t="s">
        <v>47</v>
      </c>
    </row>
    <row r="93" customFormat="false" ht="41.75" hidden="false" customHeight="false" outlineLevel="0" collapsed="false">
      <c r="A93" s="3" t="s">
        <v>352</v>
      </c>
      <c r="B93" s="3" t="s">
        <v>353</v>
      </c>
      <c r="C93" s="3" t="s">
        <v>59</v>
      </c>
      <c r="D93" s="3" t="s">
        <v>61</v>
      </c>
      <c r="E93" s="3" t="s">
        <v>29</v>
      </c>
      <c r="F93" s="3" t="s">
        <v>30</v>
      </c>
      <c r="G93" s="3" t="s">
        <v>8</v>
      </c>
      <c r="H93" s="3" t="s">
        <v>284</v>
      </c>
      <c r="I93" s="3" t="s">
        <v>285</v>
      </c>
      <c r="J93" s="3" t="s">
        <v>34</v>
      </c>
      <c r="K93" s="3" t="s">
        <v>35</v>
      </c>
      <c r="L93" s="3" t="s">
        <v>202</v>
      </c>
      <c r="M93" s="3" t="s">
        <v>14</v>
      </c>
      <c r="N93" s="3" t="s">
        <v>37</v>
      </c>
      <c r="O93" s="3" t="s">
        <v>86</v>
      </c>
      <c r="P93" s="3" t="s">
        <v>107</v>
      </c>
      <c r="Q93" s="3" t="s">
        <v>286</v>
      </c>
      <c r="R93" s="3" t="s">
        <v>287</v>
      </c>
      <c r="S93" s="3" t="s">
        <v>354</v>
      </c>
      <c r="T93" s="3" t="s">
        <v>34</v>
      </c>
      <c r="U93" s="3" t="s">
        <v>90</v>
      </c>
      <c r="V93" s="3" t="s">
        <v>44</v>
      </c>
      <c r="W93" s="3" t="s">
        <v>180</v>
      </c>
      <c r="X93" s="3" t="s">
        <v>22</v>
      </c>
      <c r="Y93" s="3" t="s">
        <v>288</v>
      </c>
      <c r="Z93" s="3" t="s">
        <v>47</v>
      </c>
    </row>
    <row r="94" customFormat="false" ht="41.75" hidden="false" customHeight="false" outlineLevel="0" collapsed="false">
      <c r="A94" s="3" t="s">
        <v>355</v>
      </c>
      <c r="B94" s="3" t="s">
        <v>356</v>
      </c>
      <c r="C94" s="3" t="s">
        <v>59</v>
      </c>
      <c r="D94" s="3" t="s">
        <v>61</v>
      </c>
      <c r="E94" s="3" t="s">
        <v>29</v>
      </c>
      <c r="F94" s="3" t="s">
        <v>30</v>
      </c>
      <c r="G94" s="3" t="s">
        <v>8</v>
      </c>
      <c r="H94" s="3" t="s">
        <v>284</v>
      </c>
      <c r="I94" s="3" t="s">
        <v>285</v>
      </c>
      <c r="J94" s="3" t="s">
        <v>34</v>
      </c>
      <c r="K94" s="3" t="s">
        <v>35</v>
      </c>
      <c r="L94" s="3" t="s">
        <v>202</v>
      </c>
      <c r="M94" s="3" t="s">
        <v>14</v>
      </c>
      <c r="N94" s="3" t="s">
        <v>37</v>
      </c>
      <c r="O94" s="3" t="s">
        <v>86</v>
      </c>
      <c r="P94" s="3" t="s">
        <v>107</v>
      </c>
      <c r="Q94" s="3" t="s">
        <v>286</v>
      </c>
      <c r="R94" s="3" t="s">
        <v>287</v>
      </c>
      <c r="S94" s="3" t="s">
        <v>357</v>
      </c>
      <c r="T94" s="3" t="s">
        <v>34</v>
      </c>
      <c r="U94" s="3" t="s">
        <v>90</v>
      </c>
      <c r="V94" s="3" t="s">
        <v>44</v>
      </c>
      <c r="W94" s="3" t="s">
        <v>180</v>
      </c>
      <c r="X94" s="3" t="s">
        <v>22</v>
      </c>
      <c r="Y94" s="3" t="s">
        <v>288</v>
      </c>
      <c r="Z94" s="3" t="s">
        <v>47</v>
      </c>
    </row>
    <row r="95" customFormat="false" ht="41.75" hidden="false" customHeight="false" outlineLevel="0" collapsed="false">
      <c r="A95" s="3" t="s">
        <v>358</v>
      </c>
      <c r="B95" s="3" t="s">
        <v>359</v>
      </c>
      <c r="C95" s="3" t="s">
        <v>59</v>
      </c>
      <c r="D95" s="3" t="s">
        <v>61</v>
      </c>
      <c r="E95" s="3" t="s">
        <v>29</v>
      </c>
      <c r="F95" s="3" t="s">
        <v>30</v>
      </c>
      <c r="G95" s="3" t="s">
        <v>8</v>
      </c>
      <c r="H95" s="3" t="s">
        <v>284</v>
      </c>
      <c r="I95" s="3" t="s">
        <v>285</v>
      </c>
      <c r="J95" s="3" t="s">
        <v>34</v>
      </c>
      <c r="K95" s="3" t="s">
        <v>35</v>
      </c>
      <c r="L95" s="3" t="s">
        <v>202</v>
      </c>
      <c r="M95" s="3" t="s">
        <v>14</v>
      </c>
      <c r="N95" s="3" t="s">
        <v>37</v>
      </c>
      <c r="O95" s="3" t="s">
        <v>86</v>
      </c>
      <c r="P95" s="3" t="s">
        <v>107</v>
      </c>
      <c r="Q95" s="3" t="s">
        <v>286</v>
      </c>
      <c r="R95" s="3" t="s">
        <v>287</v>
      </c>
      <c r="S95" s="3" t="s">
        <v>360</v>
      </c>
      <c r="T95" s="3" t="s">
        <v>34</v>
      </c>
      <c r="U95" s="3" t="s">
        <v>90</v>
      </c>
      <c r="V95" s="3" t="s">
        <v>44</v>
      </c>
      <c r="W95" s="3" t="s">
        <v>180</v>
      </c>
      <c r="X95" s="3" t="s">
        <v>22</v>
      </c>
      <c r="Y95" s="3" t="s">
        <v>288</v>
      </c>
      <c r="Z95" s="3" t="s">
        <v>47</v>
      </c>
    </row>
    <row r="96" customFormat="false" ht="41.75" hidden="false" customHeight="false" outlineLevel="0" collapsed="false">
      <c r="A96" s="3" t="s">
        <v>361</v>
      </c>
      <c r="B96" s="3" t="s">
        <v>362</v>
      </c>
      <c r="C96" s="3" t="s">
        <v>59</v>
      </c>
      <c r="D96" s="3" t="s">
        <v>61</v>
      </c>
      <c r="E96" s="3" t="s">
        <v>29</v>
      </c>
      <c r="F96" s="3" t="s">
        <v>30</v>
      </c>
      <c r="G96" s="3" t="s">
        <v>8</v>
      </c>
      <c r="H96" s="3" t="s">
        <v>284</v>
      </c>
      <c r="I96" s="3" t="s">
        <v>285</v>
      </c>
      <c r="J96" s="3" t="s">
        <v>34</v>
      </c>
      <c r="K96" s="3" t="s">
        <v>35</v>
      </c>
      <c r="L96" s="3" t="s">
        <v>202</v>
      </c>
      <c r="M96" s="3" t="s">
        <v>14</v>
      </c>
      <c r="N96" s="3" t="s">
        <v>37</v>
      </c>
      <c r="O96" s="3" t="s">
        <v>86</v>
      </c>
      <c r="P96" s="3" t="s">
        <v>107</v>
      </c>
      <c r="Q96" s="3" t="s">
        <v>286</v>
      </c>
      <c r="R96" s="3" t="s">
        <v>287</v>
      </c>
      <c r="S96" s="3" t="s">
        <v>363</v>
      </c>
      <c r="T96" s="3" t="s">
        <v>34</v>
      </c>
      <c r="U96" s="3" t="s">
        <v>90</v>
      </c>
      <c r="V96" s="3" t="s">
        <v>44</v>
      </c>
      <c r="W96" s="3" t="s">
        <v>180</v>
      </c>
      <c r="X96" s="3" t="s">
        <v>22</v>
      </c>
      <c r="Y96" s="3" t="s">
        <v>288</v>
      </c>
      <c r="Z96" s="3" t="s">
        <v>47</v>
      </c>
    </row>
    <row r="97" customFormat="false" ht="41.75" hidden="false" customHeight="false" outlineLevel="0" collapsed="false">
      <c r="A97" s="3" t="s">
        <v>364</v>
      </c>
      <c r="B97" s="3" t="s">
        <v>365</v>
      </c>
      <c r="C97" s="3" t="s">
        <v>59</v>
      </c>
      <c r="D97" s="3" t="s">
        <v>61</v>
      </c>
      <c r="E97" s="3" t="s">
        <v>29</v>
      </c>
      <c r="F97" s="3" t="s">
        <v>30</v>
      </c>
      <c r="G97" s="3" t="s">
        <v>8</v>
      </c>
      <c r="H97" s="3" t="s">
        <v>284</v>
      </c>
      <c r="I97" s="3" t="s">
        <v>285</v>
      </c>
      <c r="J97" s="3" t="s">
        <v>34</v>
      </c>
      <c r="K97" s="3" t="s">
        <v>35</v>
      </c>
      <c r="L97" s="3" t="s">
        <v>202</v>
      </c>
      <c r="M97" s="3" t="s">
        <v>14</v>
      </c>
      <c r="N97" s="3" t="s">
        <v>37</v>
      </c>
      <c r="O97" s="3" t="s">
        <v>86</v>
      </c>
      <c r="P97" s="3" t="s">
        <v>107</v>
      </c>
      <c r="Q97" s="3" t="s">
        <v>286</v>
      </c>
      <c r="R97" s="3" t="s">
        <v>287</v>
      </c>
      <c r="S97" s="3" t="s">
        <v>366</v>
      </c>
      <c r="T97" s="3" t="s">
        <v>34</v>
      </c>
      <c r="U97" s="3" t="s">
        <v>90</v>
      </c>
      <c r="V97" s="3" t="s">
        <v>44</v>
      </c>
      <c r="W97" s="3" t="s">
        <v>180</v>
      </c>
      <c r="X97" s="3" t="s">
        <v>14</v>
      </c>
      <c r="Y97" s="3" t="s">
        <v>288</v>
      </c>
      <c r="Z97" s="3" t="s">
        <v>47</v>
      </c>
    </row>
    <row r="98" customFormat="false" ht="41.75" hidden="false" customHeight="false" outlineLevel="0" collapsed="false">
      <c r="A98" s="3" t="s">
        <v>367</v>
      </c>
      <c r="B98" s="3" t="s">
        <v>368</v>
      </c>
      <c r="C98" s="3" t="s">
        <v>59</v>
      </c>
      <c r="D98" s="3" t="s">
        <v>61</v>
      </c>
      <c r="E98" s="3" t="s">
        <v>29</v>
      </c>
      <c r="F98" s="3" t="s">
        <v>30</v>
      </c>
      <c r="G98" s="3" t="s">
        <v>8</v>
      </c>
      <c r="H98" s="3" t="s">
        <v>284</v>
      </c>
      <c r="I98" s="3" t="s">
        <v>285</v>
      </c>
      <c r="J98" s="3" t="s">
        <v>34</v>
      </c>
      <c r="K98" s="3" t="s">
        <v>35</v>
      </c>
      <c r="L98" s="3" t="s">
        <v>202</v>
      </c>
      <c r="M98" s="3" t="s">
        <v>14</v>
      </c>
      <c r="N98" s="3" t="s">
        <v>37</v>
      </c>
      <c r="O98" s="3" t="s">
        <v>86</v>
      </c>
      <c r="P98" s="3" t="s">
        <v>107</v>
      </c>
      <c r="Q98" s="3" t="s">
        <v>286</v>
      </c>
      <c r="R98" s="3" t="s">
        <v>287</v>
      </c>
      <c r="S98" s="3" t="s">
        <v>369</v>
      </c>
      <c r="T98" s="3" t="s">
        <v>34</v>
      </c>
      <c r="U98" s="3" t="s">
        <v>90</v>
      </c>
      <c r="V98" s="3" t="s">
        <v>44</v>
      </c>
      <c r="W98" s="3" t="s">
        <v>180</v>
      </c>
      <c r="X98" s="3" t="s">
        <v>22</v>
      </c>
      <c r="Y98" s="3" t="s">
        <v>288</v>
      </c>
      <c r="Z98" s="3" t="s">
        <v>47</v>
      </c>
    </row>
    <row r="99" customFormat="false" ht="41.75" hidden="false" customHeight="false" outlineLevel="0" collapsed="false">
      <c r="A99" s="3" t="s">
        <v>370</v>
      </c>
      <c r="B99" s="3" t="s">
        <v>371</v>
      </c>
      <c r="C99" s="3" t="s">
        <v>59</v>
      </c>
      <c r="D99" s="3" t="s">
        <v>61</v>
      </c>
      <c r="E99" s="3" t="s">
        <v>29</v>
      </c>
      <c r="F99" s="3" t="s">
        <v>30</v>
      </c>
      <c r="G99" s="3" t="s">
        <v>8</v>
      </c>
      <c r="H99" s="3" t="s">
        <v>284</v>
      </c>
      <c r="I99" s="3" t="s">
        <v>285</v>
      </c>
      <c r="J99" s="3" t="s">
        <v>34</v>
      </c>
      <c r="K99" s="3" t="s">
        <v>35</v>
      </c>
      <c r="L99" s="3" t="s">
        <v>202</v>
      </c>
      <c r="M99" s="3" t="s">
        <v>14</v>
      </c>
      <c r="N99" s="3" t="s">
        <v>37</v>
      </c>
      <c r="O99" s="3" t="s">
        <v>86</v>
      </c>
      <c r="P99" s="3" t="s">
        <v>107</v>
      </c>
      <c r="Q99" s="3" t="s">
        <v>286</v>
      </c>
      <c r="R99" s="3" t="s">
        <v>287</v>
      </c>
      <c r="S99" s="3" t="s">
        <v>372</v>
      </c>
      <c r="T99" s="3" t="s">
        <v>34</v>
      </c>
      <c r="U99" s="3" t="s">
        <v>90</v>
      </c>
      <c r="V99" s="3" t="s">
        <v>44</v>
      </c>
      <c r="W99" s="3" t="s">
        <v>180</v>
      </c>
      <c r="X99" s="3" t="s">
        <v>22</v>
      </c>
      <c r="Y99" s="3" t="s">
        <v>288</v>
      </c>
      <c r="Z99" s="3" t="s">
        <v>47</v>
      </c>
    </row>
    <row r="100" customFormat="false" ht="41.75" hidden="false" customHeight="false" outlineLevel="0" collapsed="false">
      <c r="A100" s="3" t="s">
        <v>373</v>
      </c>
      <c r="B100" s="3" t="s">
        <v>374</v>
      </c>
      <c r="C100" s="3" t="s">
        <v>59</v>
      </c>
      <c r="D100" s="3" t="s">
        <v>61</v>
      </c>
      <c r="E100" s="3" t="s">
        <v>29</v>
      </c>
      <c r="F100" s="3" t="s">
        <v>30</v>
      </c>
      <c r="G100" s="3" t="s">
        <v>8</v>
      </c>
      <c r="H100" s="3" t="s">
        <v>284</v>
      </c>
      <c r="I100" s="3" t="s">
        <v>285</v>
      </c>
      <c r="J100" s="3" t="s">
        <v>34</v>
      </c>
      <c r="K100" s="3" t="s">
        <v>35</v>
      </c>
      <c r="L100" s="3" t="s">
        <v>202</v>
      </c>
      <c r="M100" s="3" t="s">
        <v>14</v>
      </c>
      <c r="N100" s="3" t="s">
        <v>37</v>
      </c>
      <c r="O100" s="3" t="s">
        <v>86</v>
      </c>
      <c r="P100" s="3" t="s">
        <v>107</v>
      </c>
      <c r="Q100" s="3" t="s">
        <v>286</v>
      </c>
      <c r="R100" s="3" t="s">
        <v>287</v>
      </c>
      <c r="S100" s="3" t="s">
        <v>375</v>
      </c>
      <c r="T100" s="3" t="s">
        <v>34</v>
      </c>
      <c r="U100" s="3" t="s">
        <v>90</v>
      </c>
      <c r="V100" s="3" t="s">
        <v>44</v>
      </c>
      <c r="W100" s="3" t="s">
        <v>180</v>
      </c>
      <c r="X100" s="3" t="s">
        <v>22</v>
      </c>
      <c r="Y100" s="3" t="s">
        <v>288</v>
      </c>
      <c r="Z100" s="3" t="s">
        <v>47</v>
      </c>
    </row>
    <row r="101" customFormat="false" ht="41.75" hidden="false" customHeight="false" outlineLevel="0" collapsed="false">
      <c r="A101" s="3" t="s">
        <v>376</v>
      </c>
      <c r="B101" s="3" t="s">
        <v>377</v>
      </c>
      <c r="C101" s="3" t="s">
        <v>59</v>
      </c>
      <c r="D101" s="3" t="s">
        <v>61</v>
      </c>
      <c r="E101" s="3" t="s">
        <v>29</v>
      </c>
      <c r="F101" s="3" t="s">
        <v>30</v>
      </c>
      <c r="G101" s="3" t="s">
        <v>8</v>
      </c>
      <c r="H101" s="3" t="s">
        <v>284</v>
      </c>
      <c r="I101" s="3" t="s">
        <v>285</v>
      </c>
      <c r="J101" s="3" t="s">
        <v>34</v>
      </c>
      <c r="K101" s="3" t="s">
        <v>35</v>
      </c>
      <c r="L101" s="3" t="s">
        <v>202</v>
      </c>
      <c r="M101" s="3" t="s">
        <v>14</v>
      </c>
      <c r="N101" s="3" t="s">
        <v>37</v>
      </c>
      <c r="O101" s="3" t="s">
        <v>86</v>
      </c>
      <c r="P101" s="3" t="s">
        <v>107</v>
      </c>
      <c r="Q101" s="3" t="s">
        <v>286</v>
      </c>
      <c r="R101" s="3" t="s">
        <v>287</v>
      </c>
      <c r="S101" s="3" t="s">
        <v>41</v>
      </c>
      <c r="T101" s="3" t="s">
        <v>42</v>
      </c>
      <c r="U101" s="3" t="s">
        <v>90</v>
      </c>
      <c r="V101" s="3" t="s">
        <v>44</v>
      </c>
      <c r="W101" s="3" t="s">
        <v>45</v>
      </c>
      <c r="X101" s="3" t="s">
        <v>22</v>
      </c>
      <c r="Y101" s="3" t="s">
        <v>288</v>
      </c>
      <c r="Z101" s="3" t="s">
        <v>47</v>
      </c>
    </row>
    <row r="102" customFormat="false" ht="41.75" hidden="false" customHeight="false" outlineLevel="0" collapsed="false">
      <c r="A102" s="3" t="s">
        <v>378</v>
      </c>
      <c r="B102" s="3" t="s">
        <v>379</v>
      </c>
      <c r="C102" s="3" t="s">
        <v>59</v>
      </c>
      <c r="D102" s="3" t="s">
        <v>61</v>
      </c>
      <c r="E102" s="3" t="s">
        <v>29</v>
      </c>
      <c r="F102" s="3" t="s">
        <v>30</v>
      </c>
      <c r="G102" s="3" t="s">
        <v>8</v>
      </c>
      <c r="H102" s="3" t="s">
        <v>284</v>
      </c>
      <c r="I102" s="3" t="s">
        <v>285</v>
      </c>
      <c r="J102" s="3" t="s">
        <v>34</v>
      </c>
      <c r="K102" s="3" t="s">
        <v>35</v>
      </c>
      <c r="L102" s="3" t="s">
        <v>202</v>
      </c>
      <c r="M102" s="3" t="s">
        <v>14</v>
      </c>
      <c r="N102" s="3" t="s">
        <v>37</v>
      </c>
      <c r="O102" s="3" t="s">
        <v>86</v>
      </c>
      <c r="P102" s="3" t="s">
        <v>107</v>
      </c>
      <c r="Q102" s="3" t="s">
        <v>286</v>
      </c>
      <c r="R102" s="3" t="s">
        <v>287</v>
      </c>
      <c r="S102" s="3" t="s">
        <v>380</v>
      </c>
      <c r="T102" s="3" t="s">
        <v>34</v>
      </c>
      <c r="U102" s="3" t="s">
        <v>90</v>
      </c>
      <c r="V102" s="3" t="s">
        <v>44</v>
      </c>
      <c r="W102" s="3" t="s">
        <v>180</v>
      </c>
      <c r="X102" s="3" t="s">
        <v>22</v>
      </c>
      <c r="Y102" s="3" t="s">
        <v>288</v>
      </c>
      <c r="Z102" s="3" t="s">
        <v>47</v>
      </c>
    </row>
    <row r="103" customFormat="false" ht="41.75" hidden="false" customHeight="false" outlineLevel="0" collapsed="false">
      <c r="A103" s="3" t="s">
        <v>381</v>
      </c>
      <c r="B103" s="3" t="s">
        <v>382</v>
      </c>
      <c r="C103" s="3" t="s">
        <v>59</v>
      </c>
      <c r="D103" s="3" t="s">
        <v>61</v>
      </c>
      <c r="E103" s="3" t="s">
        <v>29</v>
      </c>
      <c r="F103" s="3" t="s">
        <v>30</v>
      </c>
      <c r="G103" s="3" t="s">
        <v>8</v>
      </c>
      <c r="H103" s="3" t="s">
        <v>284</v>
      </c>
      <c r="I103" s="3" t="s">
        <v>285</v>
      </c>
      <c r="J103" s="3" t="s">
        <v>34</v>
      </c>
      <c r="K103" s="3" t="s">
        <v>35</v>
      </c>
      <c r="L103" s="3" t="s">
        <v>202</v>
      </c>
      <c r="M103" s="3" t="s">
        <v>14</v>
      </c>
      <c r="N103" s="3" t="s">
        <v>37</v>
      </c>
      <c r="O103" s="3" t="s">
        <v>86</v>
      </c>
      <c r="P103" s="3" t="s">
        <v>107</v>
      </c>
      <c r="Q103" s="3" t="s">
        <v>286</v>
      </c>
      <c r="R103" s="3" t="s">
        <v>287</v>
      </c>
      <c r="S103" s="3" t="s">
        <v>383</v>
      </c>
      <c r="T103" s="3" t="s">
        <v>34</v>
      </c>
      <c r="U103" s="3" t="s">
        <v>90</v>
      </c>
      <c r="V103" s="3" t="s">
        <v>44</v>
      </c>
      <c r="W103" s="3" t="s">
        <v>180</v>
      </c>
      <c r="X103" s="3" t="s">
        <v>22</v>
      </c>
      <c r="Y103" s="3" t="s">
        <v>288</v>
      </c>
      <c r="Z103" s="3" t="s">
        <v>47</v>
      </c>
    </row>
    <row r="104" customFormat="false" ht="41.75" hidden="false" customHeight="false" outlineLevel="0" collapsed="false">
      <c r="A104" s="3" t="s">
        <v>384</v>
      </c>
      <c r="B104" s="3" t="s">
        <v>385</v>
      </c>
      <c r="C104" s="3" t="s">
        <v>59</v>
      </c>
      <c r="D104" s="3" t="s">
        <v>61</v>
      </c>
      <c r="E104" s="3" t="s">
        <v>29</v>
      </c>
      <c r="F104" s="3" t="s">
        <v>30</v>
      </c>
      <c r="G104" s="3" t="s">
        <v>8</v>
      </c>
      <c r="H104" s="3" t="s">
        <v>284</v>
      </c>
      <c r="I104" s="3" t="s">
        <v>285</v>
      </c>
      <c r="J104" s="3" t="s">
        <v>34</v>
      </c>
      <c r="K104" s="3" t="s">
        <v>35</v>
      </c>
      <c r="L104" s="3" t="s">
        <v>202</v>
      </c>
      <c r="M104" s="3" t="s">
        <v>14</v>
      </c>
      <c r="N104" s="3" t="s">
        <v>37</v>
      </c>
      <c r="O104" s="3" t="s">
        <v>86</v>
      </c>
      <c r="P104" s="3" t="s">
        <v>107</v>
      </c>
      <c r="Q104" s="3" t="s">
        <v>286</v>
      </c>
      <c r="R104" s="3" t="s">
        <v>287</v>
      </c>
      <c r="S104" s="3" t="s">
        <v>386</v>
      </c>
      <c r="T104" s="3" t="s">
        <v>34</v>
      </c>
      <c r="U104" s="3" t="s">
        <v>90</v>
      </c>
      <c r="V104" s="3" t="s">
        <v>44</v>
      </c>
      <c r="W104" s="3" t="s">
        <v>180</v>
      </c>
      <c r="X104" s="3" t="s">
        <v>22</v>
      </c>
      <c r="Y104" s="3" t="s">
        <v>288</v>
      </c>
      <c r="Z104" s="3" t="s">
        <v>47</v>
      </c>
    </row>
    <row r="105" customFormat="false" ht="41.75" hidden="false" customHeight="false" outlineLevel="0" collapsed="false">
      <c r="A105" s="3" t="s">
        <v>387</v>
      </c>
      <c r="B105" s="3" t="s">
        <v>388</v>
      </c>
      <c r="C105" s="3" t="s">
        <v>59</v>
      </c>
      <c r="D105" s="3" t="s">
        <v>61</v>
      </c>
      <c r="E105" s="3" t="s">
        <v>29</v>
      </c>
      <c r="F105" s="3" t="s">
        <v>30</v>
      </c>
      <c r="G105" s="3" t="s">
        <v>8</v>
      </c>
      <c r="H105" s="3" t="s">
        <v>284</v>
      </c>
      <c r="I105" s="3" t="s">
        <v>285</v>
      </c>
      <c r="J105" s="3" t="s">
        <v>34</v>
      </c>
      <c r="K105" s="3" t="s">
        <v>35</v>
      </c>
      <c r="L105" s="3" t="s">
        <v>202</v>
      </c>
      <c r="M105" s="3" t="s">
        <v>14</v>
      </c>
      <c r="N105" s="3" t="s">
        <v>37</v>
      </c>
      <c r="O105" s="3" t="s">
        <v>86</v>
      </c>
      <c r="P105" s="3" t="s">
        <v>107</v>
      </c>
      <c r="Q105" s="3" t="s">
        <v>286</v>
      </c>
      <c r="R105" s="3" t="s">
        <v>287</v>
      </c>
      <c r="S105" s="3" t="s">
        <v>389</v>
      </c>
      <c r="T105" s="3" t="s">
        <v>34</v>
      </c>
      <c r="U105" s="3" t="s">
        <v>90</v>
      </c>
      <c r="V105" s="3" t="s">
        <v>44</v>
      </c>
      <c r="W105" s="3" t="s">
        <v>180</v>
      </c>
      <c r="X105" s="3" t="s">
        <v>22</v>
      </c>
      <c r="Y105" s="3" t="s">
        <v>288</v>
      </c>
      <c r="Z105" s="3" t="s">
        <v>47</v>
      </c>
    </row>
    <row r="106" customFormat="false" ht="41.75" hidden="false" customHeight="false" outlineLevel="0" collapsed="false">
      <c r="A106" s="3" t="s">
        <v>390</v>
      </c>
      <c r="B106" s="3" t="s">
        <v>391</v>
      </c>
      <c r="C106" s="3" t="s">
        <v>59</v>
      </c>
      <c r="D106" s="3" t="s">
        <v>61</v>
      </c>
      <c r="E106" s="3" t="s">
        <v>29</v>
      </c>
      <c r="F106" s="3" t="s">
        <v>30</v>
      </c>
      <c r="G106" s="3" t="s">
        <v>8</v>
      </c>
      <c r="H106" s="3" t="s">
        <v>284</v>
      </c>
      <c r="I106" s="3" t="s">
        <v>285</v>
      </c>
      <c r="J106" s="3" t="s">
        <v>34</v>
      </c>
      <c r="K106" s="3" t="s">
        <v>35</v>
      </c>
      <c r="L106" s="3" t="s">
        <v>202</v>
      </c>
      <c r="M106" s="3" t="s">
        <v>14</v>
      </c>
      <c r="N106" s="3" t="s">
        <v>37</v>
      </c>
      <c r="O106" s="3" t="s">
        <v>86</v>
      </c>
      <c r="P106" s="3" t="s">
        <v>107</v>
      </c>
      <c r="Q106" s="3" t="s">
        <v>286</v>
      </c>
      <c r="R106" s="3" t="s">
        <v>287</v>
      </c>
      <c r="S106" s="3" t="s">
        <v>392</v>
      </c>
      <c r="T106" s="3" t="s">
        <v>34</v>
      </c>
      <c r="U106" s="3" t="s">
        <v>90</v>
      </c>
      <c r="V106" s="3" t="s">
        <v>44</v>
      </c>
      <c r="W106" s="3" t="s">
        <v>180</v>
      </c>
      <c r="X106" s="3" t="s">
        <v>22</v>
      </c>
      <c r="Y106" s="3" t="s">
        <v>288</v>
      </c>
      <c r="Z106" s="3" t="s">
        <v>47</v>
      </c>
    </row>
    <row r="107" customFormat="false" ht="41.75" hidden="false" customHeight="false" outlineLevel="0" collapsed="false">
      <c r="A107" s="3" t="s">
        <v>393</v>
      </c>
      <c r="B107" s="3" t="s">
        <v>394</v>
      </c>
      <c r="C107" s="3" t="s">
        <v>59</v>
      </c>
      <c r="D107" s="3" t="s">
        <v>61</v>
      </c>
      <c r="E107" s="3" t="s">
        <v>29</v>
      </c>
      <c r="F107" s="3" t="s">
        <v>30</v>
      </c>
      <c r="G107" s="3" t="s">
        <v>8</v>
      </c>
      <c r="H107" s="3" t="s">
        <v>284</v>
      </c>
      <c r="I107" s="3" t="s">
        <v>285</v>
      </c>
      <c r="J107" s="3" t="s">
        <v>34</v>
      </c>
      <c r="K107" s="3" t="s">
        <v>35</v>
      </c>
      <c r="L107" s="3" t="s">
        <v>202</v>
      </c>
      <c r="M107" s="3" t="s">
        <v>14</v>
      </c>
      <c r="N107" s="3" t="s">
        <v>37</v>
      </c>
      <c r="O107" s="3" t="s">
        <v>86</v>
      </c>
      <c r="P107" s="3" t="s">
        <v>107</v>
      </c>
      <c r="Q107" s="3" t="s">
        <v>286</v>
      </c>
      <c r="R107" s="3" t="s">
        <v>287</v>
      </c>
      <c r="S107" s="3" t="s">
        <v>395</v>
      </c>
      <c r="T107" s="3" t="s">
        <v>34</v>
      </c>
      <c r="U107" s="3" t="s">
        <v>90</v>
      </c>
      <c r="V107" s="3" t="s">
        <v>44</v>
      </c>
      <c r="W107" s="3" t="s">
        <v>180</v>
      </c>
      <c r="X107" s="3" t="s">
        <v>22</v>
      </c>
      <c r="Y107" s="3" t="s">
        <v>288</v>
      </c>
      <c r="Z107" s="3" t="s">
        <v>47</v>
      </c>
    </row>
    <row r="108" customFormat="false" ht="41.75" hidden="false" customHeight="false" outlineLevel="0" collapsed="false">
      <c r="A108" s="3" t="s">
        <v>396</v>
      </c>
      <c r="B108" s="3" t="s">
        <v>397</v>
      </c>
      <c r="C108" s="3" t="s">
        <v>59</v>
      </c>
      <c r="D108" s="3" t="s">
        <v>61</v>
      </c>
      <c r="E108" s="3" t="s">
        <v>29</v>
      </c>
      <c r="F108" s="3" t="s">
        <v>30</v>
      </c>
      <c r="G108" s="3" t="s">
        <v>8</v>
      </c>
      <c r="H108" s="3" t="s">
        <v>284</v>
      </c>
      <c r="I108" s="3" t="s">
        <v>285</v>
      </c>
      <c r="J108" s="3" t="s">
        <v>34</v>
      </c>
      <c r="K108" s="3" t="s">
        <v>35</v>
      </c>
      <c r="L108" s="3" t="s">
        <v>202</v>
      </c>
      <c r="M108" s="3" t="s">
        <v>14</v>
      </c>
      <c r="N108" s="3" t="s">
        <v>37</v>
      </c>
      <c r="O108" s="3" t="s">
        <v>86</v>
      </c>
      <c r="P108" s="3" t="s">
        <v>107</v>
      </c>
      <c r="Q108" s="3" t="s">
        <v>286</v>
      </c>
      <c r="R108" s="3" t="s">
        <v>287</v>
      </c>
      <c r="S108" s="3" t="s">
        <v>398</v>
      </c>
      <c r="T108" s="3" t="s">
        <v>34</v>
      </c>
      <c r="U108" s="3" t="s">
        <v>90</v>
      </c>
      <c r="V108" s="3" t="s">
        <v>44</v>
      </c>
      <c r="W108" s="3" t="s">
        <v>180</v>
      </c>
      <c r="X108" s="3" t="s">
        <v>14</v>
      </c>
      <c r="Y108" s="3" t="s">
        <v>288</v>
      </c>
      <c r="Z108" s="3" t="s">
        <v>47</v>
      </c>
    </row>
    <row r="109" customFormat="false" ht="41.75" hidden="false" customHeight="false" outlineLevel="0" collapsed="false">
      <c r="A109" s="3" t="s">
        <v>399</v>
      </c>
      <c r="B109" s="3" t="s">
        <v>400</v>
      </c>
      <c r="C109" s="3" t="s">
        <v>59</v>
      </c>
      <c r="D109" s="3" t="s">
        <v>61</v>
      </c>
      <c r="E109" s="3" t="s">
        <v>29</v>
      </c>
      <c r="F109" s="3" t="s">
        <v>30</v>
      </c>
      <c r="G109" s="3" t="s">
        <v>8</v>
      </c>
      <c r="H109" s="3" t="s">
        <v>284</v>
      </c>
      <c r="I109" s="3" t="s">
        <v>285</v>
      </c>
      <c r="J109" s="3" t="s">
        <v>34</v>
      </c>
      <c r="K109" s="3" t="s">
        <v>35</v>
      </c>
      <c r="L109" s="3" t="s">
        <v>202</v>
      </c>
      <c r="M109" s="3" t="s">
        <v>14</v>
      </c>
      <c r="N109" s="3" t="s">
        <v>37</v>
      </c>
      <c r="O109" s="3" t="s">
        <v>86</v>
      </c>
      <c r="P109" s="3" t="s">
        <v>107</v>
      </c>
      <c r="Q109" s="3" t="s">
        <v>286</v>
      </c>
      <c r="R109" s="3" t="s">
        <v>287</v>
      </c>
      <c r="S109" s="3" t="s">
        <v>401</v>
      </c>
      <c r="T109" s="3" t="s">
        <v>34</v>
      </c>
      <c r="U109" s="3" t="s">
        <v>90</v>
      </c>
      <c r="V109" s="3" t="s">
        <v>44</v>
      </c>
      <c r="W109" s="3" t="s">
        <v>180</v>
      </c>
      <c r="X109" s="3" t="s">
        <v>22</v>
      </c>
      <c r="Y109" s="3" t="s">
        <v>288</v>
      </c>
      <c r="Z109" s="3" t="s">
        <v>47</v>
      </c>
    </row>
    <row r="110" customFormat="false" ht="41.75" hidden="false" customHeight="false" outlineLevel="0" collapsed="false">
      <c r="A110" s="3" t="s">
        <v>402</v>
      </c>
      <c r="B110" s="3" t="s">
        <v>403</v>
      </c>
      <c r="C110" s="3" t="s">
        <v>59</v>
      </c>
      <c r="D110" s="3" t="s">
        <v>61</v>
      </c>
      <c r="E110" s="3" t="s">
        <v>29</v>
      </c>
      <c r="F110" s="3" t="s">
        <v>30</v>
      </c>
      <c r="G110" s="3" t="s">
        <v>8</v>
      </c>
      <c r="H110" s="3" t="s">
        <v>284</v>
      </c>
      <c r="I110" s="3" t="s">
        <v>285</v>
      </c>
      <c r="J110" s="3" t="s">
        <v>34</v>
      </c>
      <c r="K110" s="3" t="s">
        <v>35</v>
      </c>
      <c r="L110" s="3" t="s">
        <v>202</v>
      </c>
      <c r="M110" s="3" t="s">
        <v>14</v>
      </c>
      <c r="N110" s="3" t="s">
        <v>37</v>
      </c>
      <c r="O110" s="3" t="s">
        <v>86</v>
      </c>
      <c r="P110" s="3" t="s">
        <v>107</v>
      </c>
      <c r="Q110" s="3" t="s">
        <v>286</v>
      </c>
      <c r="R110" s="3" t="s">
        <v>287</v>
      </c>
      <c r="S110" s="3" t="s">
        <v>404</v>
      </c>
      <c r="T110" s="3" t="s">
        <v>34</v>
      </c>
      <c r="U110" s="3" t="s">
        <v>90</v>
      </c>
      <c r="V110" s="3" t="s">
        <v>44</v>
      </c>
      <c r="W110" s="3" t="s">
        <v>180</v>
      </c>
      <c r="X110" s="3" t="s">
        <v>22</v>
      </c>
      <c r="Y110" s="3" t="s">
        <v>288</v>
      </c>
      <c r="Z110" s="3" t="s">
        <v>47</v>
      </c>
    </row>
    <row r="111" customFormat="false" ht="41.75" hidden="false" customHeight="false" outlineLevel="0" collapsed="false">
      <c r="A111" s="3" t="s">
        <v>405</v>
      </c>
      <c r="B111" s="3" t="s">
        <v>406</v>
      </c>
      <c r="C111" s="3" t="s">
        <v>59</v>
      </c>
      <c r="D111" s="3" t="s">
        <v>61</v>
      </c>
      <c r="E111" s="3" t="s">
        <v>29</v>
      </c>
      <c r="F111" s="3" t="s">
        <v>30</v>
      </c>
      <c r="G111" s="3" t="s">
        <v>8</v>
      </c>
      <c r="H111" s="3" t="s">
        <v>284</v>
      </c>
      <c r="I111" s="3" t="s">
        <v>285</v>
      </c>
      <c r="J111" s="3" t="s">
        <v>34</v>
      </c>
      <c r="K111" s="3" t="s">
        <v>35</v>
      </c>
      <c r="L111" s="3" t="s">
        <v>202</v>
      </c>
      <c r="M111" s="3" t="s">
        <v>14</v>
      </c>
      <c r="N111" s="3" t="s">
        <v>37</v>
      </c>
      <c r="O111" s="3" t="s">
        <v>86</v>
      </c>
      <c r="P111" s="3" t="s">
        <v>107</v>
      </c>
      <c r="Q111" s="3" t="s">
        <v>286</v>
      </c>
      <c r="R111" s="3" t="s">
        <v>287</v>
      </c>
      <c r="S111" s="3" t="s">
        <v>407</v>
      </c>
      <c r="T111" s="3" t="s">
        <v>34</v>
      </c>
      <c r="U111" s="3" t="s">
        <v>90</v>
      </c>
      <c r="V111" s="3" t="s">
        <v>44</v>
      </c>
      <c r="W111" s="3" t="s">
        <v>180</v>
      </c>
      <c r="X111" s="3" t="s">
        <v>22</v>
      </c>
      <c r="Y111" s="3" t="s">
        <v>288</v>
      </c>
      <c r="Z111" s="3" t="s">
        <v>47</v>
      </c>
    </row>
    <row r="112" customFormat="false" ht="41.75" hidden="false" customHeight="false" outlineLevel="0" collapsed="false">
      <c r="A112" s="3" t="s">
        <v>408</v>
      </c>
      <c r="B112" s="3" t="s">
        <v>409</v>
      </c>
      <c r="C112" s="3" t="s">
        <v>59</v>
      </c>
      <c r="D112" s="3" t="s">
        <v>61</v>
      </c>
      <c r="E112" s="3" t="s">
        <v>29</v>
      </c>
      <c r="F112" s="3" t="s">
        <v>30</v>
      </c>
      <c r="G112" s="3" t="s">
        <v>8</v>
      </c>
      <c r="H112" s="3" t="s">
        <v>284</v>
      </c>
      <c r="I112" s="3" t="s">
        <v>285</v>
      </c>
      <c r="J112" s="3" t="s">
        <v>34</v>
      </c>
      <c r="K112" s="3" t="s">
        <v>35</v>
      </c>
      <c r="L112" s="3" t="s">
        <v>202</v>
      </c>
      <c r="M112" s="3" t="s">
        <v>14</v>
      </c>
      <c r="N112" s="3" t="s">
        <v>37</v>
      </c>
      <c r="O112" s="3" t="s">
        <v>86</v>
      </c>
      <c r="P112" s="3" t="s">
        <v>107</v>
      </c>
      <c r="Q112" s="3" t="s">
        <v>286</v>
      </c>
      <c r="R112" s="3" t="s">
        <v>287</v>
      </c>
      <c r="S112" s="3" t="s">
        <v>410</v>
      </c>
      <c r="T112" s="3" t="s">
        <v>34</v>
      </c>
      <c r="U112" s="3" t="s">
        <v>90</v>
      </c>
      <c r="V112" s="3" t="s">
        <v>44</v>
      </c>
      <c r="W112" s="3" t="s">
        <v>180</v>
      </c>
      <c r="X112" s="3" t="s">
        <v>22</v>
      </c>
      <c r="Y112" s="3" t="s">
        <v>288</v>
      </c>
      <c r="Z112" s="3" t="s">
        <v>47</v>
      </c>
    </row>
    <row r="113" customFormat="false" ht="41.75" hidden="false" customHeight="false" outlineLevel="0" collapsed="false">
      <c r="A113" s="3" t="s">
        <v>411</v>
      </c>
      <c r="B113" s="3" t="s">
        <v>412</v>
      </c>
      <c r="C113" s="3" t="s">
        <v>59</v>
      </c>
      <c r="D113" s="3" t="s">
        <v>61</v>
      </c>
      <c r="E113" s="3" t="s">
        <v>29</v>
      </c>
      <c r="F113" s="3" t="s">
        <v>30</v>
      </c>
      <c r="G113" s="3" t="s">
        <v>8</v>
      </c>
      <c r="H113" s="3" t="s">
        <v>284</v>
      </c>
      <c r="I113" s="3" t="s">
        <v>285</v>
      </c>
      <c r="J113" s="3" t="s">
        <v>34</v>
      </c>
      <c r="K113" s="3" t="s">
        <v>35</v>
      </c>
      <c r="L113" s="3" t="s">
        <v>202</v>
      </c>
      <c r="M113" s="3" t="s">
        <v>14</v>
      </c>
      <c r="N113" s="3" t="s">
        <v>37</v>
      </c>
      <c r="O113" s="3" t="s">
        <v>86</v>
      </c>
      <c r="P113" s="3" t="s">
        <v>107</v>
      </c>
      <c r="Q113" s="3" t="s">
        <v>286</v>
      </c>
      <c r="R113" s="3" t="s">
        <v>287</v>
      </c>
      <c r="S113" s="3" t="s">
        <v>413</v>
      </c>
      <c r="T113" s="3" t="s">
        <v>34</v>
      </c>
      <c r="U113" s="3" t="s">
        <v>90</v>
      </c>
      <c r="V113" s="3" t="s">
        <v>44</v>
      </c>
      <c r="W113" s="3" t="s">
        <v>180</v>
      </c>
      <c r="X113" s="3" t="s">
        <v>22</v>
      </c>
      <c r="Y113" s="3" t="s">
        <v>288</v>
      </c>
      <c r="Z113" s="3" t="s">
        <v>47</v>
      </c>
    </row>
    <row r="114" customFormat="false" ht="41.75" hidden="false" customHeight="false" outlineLevel="0" collapsed="false">
      <c r="A114" s="3" t="s">
        <v>414</v>
      </c>
      <c r="B114" s="3" t="s">
        <v>415</v>
      </c>
      <c r="C114" s="3" t="s">
        <v>59</v>
      </c>
      <c r="D114" s="3" t="s">
        <v>61</v>
      </c>
      <c r="E114" s="3" t="s">
        <v>29</v>
      </c>
      <c r="F114" s="3" t="s">
        <v>30</v>
      </c>
      <c r="G114" s="3" t="s">
        <v>8</v>
      </c>
      <c r="H114" s="3" t="s">
        <v>284</v>
      </c>
      <c r="I114" s="3" t="s">
        <v>285</v>
      </c>
      <c r="J114" s="3" t="s">
        <v>34</v>
      </c>
      <c r="K114" s="3" t="s">
        <v>35</v>
      </c>
      <c r="L114" s="3" t="s">
        <v>202</v>
      </c>
      <c r="M114" s="3" t="s">
        <v>14</v>
      </c>
      <c r="N114" s="3" t="s">
        <v>37</v>
      </c>
      <c r="O114" s="3" t="s">
        <v>86</v>
      </c>
      <c r="P114" s="3" t="s">
        <v>107</v>
      </c>
      <c r="Q114" s="3" t="s">
        <v>286</v>
      </c>
      <c r="R114" s="3" t="s">
        <v>287</v>
      </c>
      <c r="S114" s="3" t="s">
        <v>416</v>
      </c>
      <c r="T114" s="3" t="s">
        <v>34</v>
      </c>
      <c r="U114" s="3" t="s">
        <v>90</v>
      </c>
      <c r="V114" s="3" t="s">
        <v>44</v>
      </c>
      <c r="W114" s="3" t="s">
        <v>180</v>
      </c>
      <c r="X114" s="3" t="s">
        <v>22</v>
      </c>
      <c r="Y114" s="3" t="s">
        <v>288</v>
      </c>
      <c r="Z114" s="3" t="s">
        <v>47</v>
      </c>
    </row>
    <row r="115" customFormat="false" ht="41.75" hidden="false" customHeight="false" outlineLevel="0" collapsed="false">
      <c r="A115" s="3" t="s">
        <v>417</v>
      </c>
      <c r="B115" s="3" t="s">
        <v>418</v>
      </c>
      <c r="C115" s="3" t="s">
        <v>59</v>
      </c>
      <c r="D115" s="3" t="s">
        <v>61</v>
      </c>
      <c r="E115" s="3" t="s">
        <v>29</v>
      </c>
      <c r="F115" s="3" t="s">
        <v>30</v>
      </c>
      <c r="G115" s="3" t="s">
        <v>8</v>
      </c>
      <c r="H115" s="3" t="s">
        <v>284</v>
      </c>
      <c r="I115" s="3" t="s">
        <v>285</v>
      </c>
      <c r="J115" s="3" t="s">
        <v>34</v>
      </c>
      <c r="K115" s="3" t="s">
        <v>35</v>
      </c>
      <c r="L115" s="3" t="s">
        <v>202</v>
      </c>
      <c r="M115" s="3" t="s">
        <v>14</v>
      </c>
      <c r="N115" s="3" t="s">
        <v>37</v>
      </c>
      <c r="O115" s="3" t="s">
        <v>86</v>
      </c>
      <c r="P115" s="3" t="s">
        <v>107</v>
      </c>
      <c r="Q115" s="3" t="s">
        <v>286</v>
      </c>
      <c r="R115" s="3" t="s">
        <v>287</v>
      </c>
      <c r="S115" s="3" t="s">
        <v>419</v>
      </c>
      <c r="T115" s="3" t="s">
        <v>34</v>
      </c>
      <c r="U115" s="3" t="s">
        <v>90</v>
      </c>
      <c r="V115" s="3" t="s">
        <v>44</v>
      </c>
      <c r="W115" s="3" t="s">
        <v>180</v>
      </c>
      <c r="X115" s="3" t="s">
        <v>22</v>
      </c>
      <c r="Y115" s="3" t="s">
        <v>288</v>
      </c>
      <c r="Z115" s="3" t="s">
        <v>47</v>
      </c>
    </row>
    <row r="116" customFormat="false" ht="41.75" hidden="false" customHeight="false" outlineLevel="0" collapsed="false">
      <c r="A116" s="3" t="s">
        <v>420</v>
      </c>
      <c r="B116" s="3" t="s">
        <v>421</v>
      </c>
      <c r="C116" s="3" t="s">
        <v>59</v>
      </c>
      <c r="D116" s="3" t="s">
        <v>61</v>
      </c>
      <c r="E116" s="3" t="s">
        <v>29</v>
      </c>
      <c r="F116" s="3" t="s">
        <v>30</v>
      </c>
      <c r="G116" s="3" t="s">
        <v>8</v>
      </c>
      <c r="H116" s="3" t="s">
        <v>284</v>
      </c>
      <c r="I116" s="3" t="s">
        <v>285</v>
      </c>
      <c r="J116" s="3" t="s">
        <v>34</v>
      </c>
      <c r="K116" s="3" t="s">
        <v>35</v>
      </c>
      <c r="L116" s="3" t="s">
        <v>202</v>
      </c>
      <c r="M116" s="3" t="s">
        <v>14</v>
      </c>
      <c r="N116" s="3" t="s">
        <v>37</v>
      </c>
      <c r="O116" s="3" t="s">
        <v>86</v>
      </c>
      <c r="P116" s="3" t="s">
        <v>107</v>
      </c>
      <c r="Q116" s="3" t="s">
        <v>286</v>
      </c>
      <c r="R116" s="3" t="s">
        <v>287</v>
      </c>
      <c r="S116" s="3" t="s">
        <v>422</v>
      </c>
      <c r="T116" s="3" t="s">
        <v>34</v>
      </c>
      <c r="U116" s="3" t="s">
        <v>90</v>
      </c>
      <c r="V116" s="3" t="s">
        <v>44</v>
      </c>
      <c r="W116" s="3" t="s">
        <v>180</v>
      </c>
      <c r="X116" s="3" t="s">
        <v>22</v>
      </c>
      <c r="Y116" s="3" t="s">
        <v>288</v>
      </c>
      <c r="Z116" s="3" t="s">
        <v>47</v>
      </c>
    </row>
    <row r="117" customFormat="false" ht="41.75" hidden="false" customHeight="false" outlineLevel="0" collapsed="false">
      <c r="A117" s="3" t="s">
        <v>423</v>
      </c>
      <c r="B117" s="3" t="s">
        <v>421</v>
      </c>
      <c r="C117" s="3" t="s">
        <v>59</v>
      </c>
      <c r="D117" s="3" t="s">
        <v>61</v>
      </c>
      <c r="E117" s="3" t="s">
        <v>29</v>
      </c>
      <c r="F117" s="3" t="s">
        <v>30</v>
      </c>
      <c r="G117" s="3" t="s">
        <v>8</v>
      </c>
      <c r="H117" s="3" t="s">
        <v>284</v>
      </c>
      <c r="I117" s="3" t="s">
        <v>285</v>
      </c>
      <c r="J117" s="3" t="s">
        <v>34</v>
      </c>
      <c r="K117" s="3" t="s">
        <v>35</v>
      </c>
      <c r="L117" s="3" t="s">
        <v>202</v>
      </c>
      <c r="M117" s="3" t="s">
        <v>14</v>
      </c>
      <c r="N117" s="3" t="s">
        <v>37</v>
      </c>
      <c r="O117" s="3" t="s">
        <v>86</v>
      </c>
      <c r="P117" s="3" t="s">
        <v>107</v>
      </c>
      <c r="Q117" s="3" t="s">
        <v>286</v>
      </c>
      <c r="R117" s="3" t="s">
        <v>287</v>
      </c>
      <c r="S117" s="3" t="s">
        <v>422</v>
      </c>
      <c r="T117" s="3" t="s">
        <v>34</v>
      </c>
      <c r="U117" s="3" t="s">
        <v>90</v>
      </c>
      <c r="V117" s="3" t="s">
        <v>44</v>
      </c>
      <c r="W117" s="3" t="s">
        <v>180</v>
      </c>
      <c r="X117" s="3" t="s">
        <v>22</v>
      </c>
      <c r="Y117" s="3" t="s">
        <v>288</v>
      </c>
      <c r="Z117" s="3" t="s">
        <v>47</v>
      </c>
    </row>
    <row r="118" customFormat="false" ht="41.75" hidden="false" customHeight="false" outlineLevel="0" collapsed="false">
      <c r="A118" s="3" t="s">
        <v>424</v>
      </c>
      <c r="B118" s="3" t="s">
        <v>425</v>
      </c>
      <c r="C118" s="3" t="s">
        <v>59</v>
      </c>
      <c r="D118" s="3" t="s">
        <v>61</v>
      </c>
      <c r="E118" s="3" t="s">
        <v>29</v>
      </c>
      <c r="F118" s="3" t="s">
        <v>30</v>
      </c>
      <c r="G118" s="3" t="s">
        <v>8</v>
      </c>
      <c r="H118" s="3" t="s">
        <v>284</v>
      </c>
      <c r="I118" s="3" t="s">
        <v>285</v>
      </c>
      <c r="J118" s="3" t="s">
        <v>34</v>
      </c>
      <c r="K118" s="3" t="s">
        <v>35</v>
      </c>
      <c r="L118" s="3" t="s">
        <v>202</v>
      </c>
      <c r="M118" s="3" t="s">
        <v>14</v>
      </c>
      <c r="N118" s="3" t="s">
        <v>37</v>
      </c>
      <c r="O118" s="3" t="s">
        <v>86</v>
      </c>
      <c r="P118" s="3" t="s">
        <v>107</v>
      </c>
      <c r="Q118" s="3" t="s">
        <v>286</v>
      </c>
      <c r="R118" s="3" t="s">
        <v>287</v>
      </c>
      <c r="S118" s="3" t="s">
        <v>426</v>
      </c>
      <c r="T118" s="3" t="s">
        <v>34</v>
      </c>
      <c r="U118" s="3" t="s">
        <v>90</v>
      </c>
      <c r="V118" s="3" t="s">
        <v>44</v>
      </c>
      <c r="W118" s="3" t="s">
        <v>180</v>
      </c>
      <c r="X118" s="3" t="s">
        <v>22</v>
      </c>
      <c r="Y118" s="3" t="s">
        <v>288</v>
      </c>
      <c r="Z118" s="3" t="s">
        <v>47</v>
      </c>
    </row>
    <row r="119" customFormat="false" ht="41.75" hidden="false" customHeight="false" outlineLevel="0" collapsed="false">
      <c r="A119" s="3" t="s">
        <v>427</v>
      </c>
      <c r="B119" s="3" t="s">
        <v>428</v>
      </c>
      <c r="C119" s="3" t="s">
        <v>59</v>
      </c>
      <c r="D119" s="3" t="s">
        <v>61</v>
      </c>
      <c r="E119" s="3" t="s">
        <v>29</v>
      </c>
      <c r="F119" s="3" t="s">
        <v>30</v>
      </c>
      <c r="G119" s="3" t="s">
        <v>8</v>
      </c>
      <c r="H119" s="3" t="s">
        <v>284</v>
      </c>
      <c r="I119" s="3" t="s">
        <v>285</v>
      </c>
      <c r="J119" s="3" t="s">
        <v>34</v>
      </c>
      <c r="K119" s="3" t="s">
        <v>35</v>
      </c>
      <c r="L119" s="3" t="s">
        <v>202</v>
      </c>
      <c r="M119" s="3" t="s">
        <v>14</v>
      </c>
      <c r="N119" s="3" t="s">
        <v>37</v>
      </c>
      <c r="O119" s="3" t="s">
        <v>86</v>
      </c>
      <c r="P119" s="3" t="s">
        <v>107</v>
      </c>
      <c r="Q119" s="3" t="s">
        <v>286</v>
      </c>
      <c r="R119" s="3" t="s">
        <v>287</v>
      </c>
      <c r="S119" s="3" t="s">
        <v>429</v>
      </c>
      <c r="T119" s="3" t="s">
        <v>34</v>
      </c>
      <c r="U119" s="3" t="s">
        <v>90</v>
      </c>
      <c r="V119" s="3" t="s">
        <v>44</v>
      </c>
      <c r="W119" s="3" t="s">
        <v>180</v>
      </c>
      <c r="X119" s="3" t="s">
        <v>22</v>
      </c>
      <c r="Y119" s="3" t="s">
        <v>288</v>
      </c>
      <c r="Z119" s="3" t="s">
        <v>47</v>
      </c>
    </row>
    <row r="120" customFormat="false" ht="41.75" hidden="false" customHeight="false" outlineLevel="0" collapsed="false">
      <c r="A120" s="3" t="s">
        <v>430</v>
      </c>
      <c r="B120" s="3" t="s">
        <v>431</v>
      </c>
      <c r="C120" s="3" t="s">
        <v>59</v>
      </c>
      <c r="D120" s="3" t="s">
        <v>61</v>
      </c>
      <c r="E120" s="3" t="s">
        <v>29</v>
      </c>
      <c r="F120" s="3" t="s">
        <v>30</v>
      </c>
      <c r="G120" s="3" t="s">
        <v>8</v>
      </c>
      <c r="H120" s="3" t="s">
        <v>284</v>
      </c>
      <c r="I120" s="3" t="s">
        <v>285</v>
      </c>
      <c r="J120" s="3" t="s">
        <v>34</v>
      </c>
      <c r="K120" s="3" t="s">
        <v>35</v>
      </c>
      <c r="L120" s="3" t="s">
        <v>202</v>
      </c>
      <c r="M120" s="3" t="s">
        <v>14</v>
      </c>
      <c r="N120" s="3" t="s">
        <v>37</v>
      </c>
      <c r="O120" s="3" t="s">
        <v>86</v>
      </c>
      <c r="P120" s="3" t="s">
        <v>107</v>
      </c>
      <c r="Q120" s="3" t="s">
        <v>286</v>
      </c>
      <c r="R120" s="3" t="s">
        <v>287</v>
      </c>
      <c r="S120" s="3" t="s">
        <v>432</v>
      </c>
      <c r="T120" s="3" t="s">
        <v>34</v>
      </c>
      <c r="U120" s="3" t="s">
        <v>90</v>
      </c>
      <c r="V120" s="3" t="s">
        <v>44</v>
      </c>
      <c r="W120" s="3" t="s">
        <v>180</v>
      </c>
      <c r="X120" s="3" t="s">
        <v>22</v>
      </c>
      <c r="Y120" s="3" t="s">
        <v>288</v>
      </c>
      <c r="Z120" s="3" t="s">
        <v>47</v>
      </c>
    </row>
  </sheetData>
  <mergeCells count="2">
    <mergeCell ref="A1:R1"/>
    <mergeCell ref="A2:Z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24"/>
    <col collapsed="false" customWidth="true" hidden="false" outlineLevel="0" max="4" min="4" style="0" width="85"/>
  </cols>
  <sheetData>
    <row r="1" customFormat="false" ht="21.75" hidden="false" customHeight="true" outlineLevel="0" collapsed="false">
      <c r="A1" s="4" t="s">
        <v>433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21.75" hidden="false" customHeight="true" outlineLevel="0" collapsed="false">
      <c r="A2" s="1" t="s">
        <v>434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28.35" hidden="false" customHeight="false" outlineLevel="0" collapsed="false">
      <c r="A3" s="5" t="s">
        <v>435</v>
      </c>
      <c r="B3" s="6" t="n">
        <f aca="false">COUNTA(mold_species_dataset!A4:A1000)</f>
        <v>117</v>
      </c>
      <c r="D3" s="3" t="s">
        <v>436</v>
      </c>
    </row>
    <row r="4" customFormat="false" ht="21.75" hidden="false" customHeight="true" outlineLevel="0" collapsed="false">
      <c r="A4" s="5" t="s">
        <v>437</v>
      </c>
      <c r="B4" s="6" t="n">
        <v>68</v>
      </c>
      <c r="D4" s="0" t="s">
        <v>438</v>
      </c>
    </row>
    <row r="5" customFormat="false" ht="15" hidden="false" customHeight="false" outlineLevel="0" collapsed="false">
      <c r="A5" s="5" t="s">
        <v>439</v>
      </c>
      <c r="B5" s="6" t="n">
        <f aca="false">COUNTIF(mold_species_dataset!J4:J1000,"high")</f>
        <v>20</v>
      </c>
      <c r="D5" s="0" t="s">
        <v>440</v>
      </c>
    </row>
    <row r="6" customFormat="false" ht="15" hidden="false" customHeight="false" outlineLevel="0" collapsed="false">
      <c r="A6" s="5" t="s">
        <v>441</v>
      </c>
      <c r="B6" s="6" t="n">
        <f aca="false">COUNTIF(mold_species_dataset!J4:J1000,"moderate")</f>
        <v>91</v>
      </c>
      <c r="D6" s="0" t="s">
        <v>442</v>
      </c>
    </row>
    <row r="7" customFormat="false" ht="15" hidden="false" customHeight="false" outlineLevel="0" collapsed="false">
      <c r="A7" s="5" t="s">
        <v>443</v>
      </c>
      <c r="B7" s="6" t="n">
        <f aca="false">COUNTIF(mold_species_dataset!J4:J1000,"low")</f>
        <v>2</v>
      </c>
      <c r="D7" s="0" t="s">
        <v>444</v>
      </c>
    </row>
    <row r="8" customFormat="false" ht="15" hidden="false" customHeight="false" outlineLevel="0" collapsed="false">
      <c r="A8" s="5" t="s">
        <v>445</v>
      </c>
      <c r="B8" s="6" t="n">
        <f aca="false">COUNTIF(mold_species_dataset!P4:P1000,"Yes")</f>
        <v>0</v>
      </c>
      <c r="D8" s="0" t="s">
        <v>446</v>
      </c>
    </row>
    <row r="9" customFormat="false" ht="15" hidden="false" customHeight="false" outlineLevel="0" collapsed="false">
      <c r="A9" s="5" t="s">
        <v>447</v>
      </c>
      <c r="B9" s="6" t="n">
        <f aca="false">COUNTIF(mold_species_dataset!X4:X1000,"Yes")</f>
        <v>16</v>
      </c>
      <c r="D9" s="0" t="s">
        <v>448</v>
      </c>
    </row>
    <row r="10" customFormat="false" ht="15" hidden="false" customHeight="false" outlineLevel="0" collapsed="false">
      <c r="A10" s="5" t="s">
        <v>449</v>
      </c>
      <c r="B10" s="6" t="n">
        <f aca="false">COUNTA('Image Label Taxonomy'!A5:A1000)</f>
        <v>11</v>
      </c>
      <c r="D10" s="0" t="s">
        <v>450</v>
      </c>
    </row>
    <row r="11" customFormat="false" ht="15" hidden="false" customHeight="false" outlineLevel="0" collapsed="false">
      <c r="A11" s="5" t="s">
        <v>451</v>
      </c>
      <c r="B11" s="6" t="n">
        <f aca="false">COUNTA('AI Early Detection Signs'!A2:A1000)</f>
        <v>12</v>
      </c>
      <c r="D11" s="0" t="s">
        <v>452</v>
      </c>
    </row>
    <row r="12" customFormat="false" ht="15" hidden="false" customHeight="false" outlineLevel="0" collapsed="false">
      <c r="A12" s="5" t="s">
        <v>453</v>
      </c>
      <c r="B12" s="6" t="n">
        <f aca="false">COUNTA('Cleaning Agents'!A2:A1000)</f>
        <v>9</v>
      </c>
      <c r="D12" s="0" t="s">
        <v>454</v>
      </c>
    </row>
    <row r="13" customFormat="false" ht="15" hidden="false" customHeight="false" outlineLevel="0" collapsed="false">
      <c r="A13" s="5" t="s">
        <v>455</v>
      </c>
      <c r="B13" s="6" t="n">
        <f aca="false">COUNTA('Lab Interpretation Rules'!A5:A1000)</f>
        <v>24</v>
      </c>
      <c r="D13" s="0" t="s">
        <v>456</v>
      </c>
    </row>
    <row r="14" customFormat="false" ht="15" hidden="false" customHeight="false" outlineLevel="0" collapsed="false">
      <c r="A14" s="7" t="s">
        <v>457</v>
      </c>
      <c r="B14" s="8" t="n">
        <f aca="false">COUNTA('Real Lab Data Training'!A5:A1000)</f>
        <v>20</v>
      </c>
      <c r="D14" s="0" t="s">
        <v>458</v>
      </c>
    </row>
    <row r="15" customFormat="false" ht="15" hidden="false" customHeight="false" outlineLevel="0" collapsed="false">
      <c r="A15" s="5" t="s">
        <v>459</v>
      </c>
      <c r="B15" s="6" t="n">
        <f aca="false">COUNTA('Control Center'!A5:A1000)</f>
        <v>5</v>
      </c>
      <c r="D15" s="0" t="s">
        <v>460</v>
      </c>
    </row>
    <row r="16" customFormat="false" ht="15" hidden="false" customHeight="false" outlineLevel="0" collapsed="false">
      <c r="A16" s="0" t="s">
        <v>27</v>
      </c>
      <c r="B16" s="0" t="n">
        <v>10</v>
      </c>
    </row>
    <row r="17" customFormat="false" ht="15" hidden="false" customHeight="false" outlineLevel="0" collapsed="false">
      <c r="A17" s="0" t="s">
        <v>59</v>
      </c>
      <c r="B17" s="0" t="n">
        <f aca="false">COUNTIF(mold_species_dataset!C4:C122,A17)</f>
        <v>71</v>
      </c>
    </row>
    <row r="18" customFormat="false" ht="15" hidden="false" customHeight="false" outlineLevel="0" collapsed="false">
      <c r="A18" s="0" t="s">
        <v>258</v>
      </c>
      <c r="B18" s="0" t="n">
        <f aca="false">COUNTIF(mold_species_dataset!C4:C122,A18)</f>
        <v>4</v>
      </c>
    </row>
    <row r="19" customFormat="false" ht="15" hidden="false" customHeight="false" outlineLevel="0" collapsed="false">
      <c r="A19" s="0" t="s">
        <v>185</v>
      </c>
      <c r="B19" s="0" t="n">
        <f aca="false">COUNTIF(mold_species_dataset!C4:C122,A19)</f>
        <v>5</v>
      </c>
    </row>
    <row r="20" customFormat="false" ht="15" hidden="false" customHeight="false" outlineLevel="0" collapsed="false">
      <c r="A20" s="0" t="s">
        <v>144</v>
      </c>
      <c r="B20" s="0" t="n">
        <f aca="false">COUNTIF(mold_species_dataset!C4:C122,A20)</f>
        <v>5</v>
      </c>
    </row>
    <row r="21" customFormat="false" ht="15" hidden="false" customHeight="false" outlineLevel="0" collapsed="false">
      <c r="A21" s="0" t="s">
        <v>4</v>
      </c>
      <c r="B21" s="0" t="n">
        <f aca="false">COUNTIF(mold_species_dataset!C4:C122,A21)</f>
        <v>0</v>
      </c>
    </row>
    <row r="22" customFormat="false" ht="15" hidden="false" customHeight="false" outlineLevel="0" collapsed="false">
      <c r="A22" s="0" t="s">
        <v>119</v>
      </c>
      <c r="B22" s="0" t="n">
        <f aca="false">COUNTIF(mold_species_dataset!C4:C122,A22)</f>
        <v>12</v>
      </c>
    </row>
    <row r="23" customFormat="false" ht="15" hidden="false" customHeight="false" outlineLevel="0" collapsed="false">
      <c r="B23" s="0" t="n">
        <f aca="false">COUNTIF(mold_species_dataset!C4:C122,A23)</f>
        <v>0</v>
      </c>
    </row>
    <row r="24" customFormat="false" ht="15" hidden="false" customHeight="false" outlineLevel="0" collapsed="false">
      <c r="A24" s="9" t="s">
        <v>461</v>
      </c>
      <c r="B24" s="0" t="s">
        <v>462</v>
      </c>
    </row>
    <row r="25" customFormat="false" ht="15" hidden="false" customHeight="false" outlineLevel="0" collapsed="false">
      <c r="A25" s="0" t="s">
        <v>463</v>
      </c>
      <c r="B25" s="0" t="s">
        <v>464</v>
      </c>
    </row>
    <row r="26" customFormat="false" ht="15" hidden="false" customHeight="false" outlineLevel="0" collapsed="false">
      <c r="A26" s="0" t="s">
        <v>465</v>
      </c>
      <c r="B26" s="0" t="s">
        <v>466</v>
      </c>
    </row>
    <row r="29" customFormat="false" ht="28.35" hidden="false" customHeight="false" outlineLevel="0" collapsed="false">
      <c r="A29" s="0" t="s">
        <v>467</v>
      </c>
      <c r="B29" s="3" t="s">
        <v>468</v>
      </c>
    </row>
    <row r="30" customFormat="false" ht="55.2" hidden="false" customHeight="false" outlineLevel="0" collapsed="false">
      <c r="A30" s="0" t="s">
        <v>469</v>
      </c>
      <c r="B30" s="3" t="s">
        <v>470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5" min="4" style="0" width="24"/>
  </cols>
  <sheetData>
    <row r="1" customFormat="false" ht="21.75" hidden="false" customHeight="true" outlineLevel="0" collapsed="false">
      <c r="A1" s="4" t="s">
        <v>471</v>
      </c>
      <c r="B1" s="4"/>
      <c r="C1" s="4"/>
      <c r="D1" s="4"/>
      <c r="E1" s="4"/>
      <c r="F1" s="4"/>
    </row>
    <row r="2" customFormat="false" ht="21.75" hidden="false" customHeight="true" outlineLevel="0" collapsed="false">
      <c r="A2" s="10" t="s">
        <v>472</v>
      </c>
      <c r="B2" s="10"/>
      <c r="C2" s="10"/>
      <c r="D2" s="10"/>
      <c r="E2" s="10"/>
      <c r="F2" s="10"/>
    </row>
    <row r="3" customFormat="false" ht="28.35" hidden="false" customHeight="false" outlineLevel="0" collapsed="false">
      <c r="A3" s="3" t="s">
        <v>473</v>
      </c>
      <c r="B3" s="3" t="s">
        <v>474</v>
      </c>
      <c r="C3" s="3" t="s">
        <v>475</v>
      </c>
      <c r="D3" s="3" t="s">
        <v>476</v>
      </c>
      <c r="E3" s="3" t="s">
        <v>477</v>
      </c>
    </row>
    <row r="4" customFormat="false" ht="21.75" hidden="false" customHeight="true" outlineLevel="0" collapsed="false">
      <c r="A4" s="3" t="s">
        <v>478</v>
      </c>
      <c r="B4" s="3" t="s">
        <v>479</v>
      </c>
      <c r="C4" s="3" t="s">
        <v>480</v>
      </c>
      <c r="D4" s="3" t="s">
        <v>481</v>
      </c>
      <c r="E4" s="3" t="s">
        <v>482</v>
      </c>
    </row>
    <row r="5" customFormat="false" ht="28.35" hidden="false" customHeight="false" outlineLevel="0" collapsed="false">
      <c r="A5" s="3" t="s">
        <v>483</v>
      </c>
      <c r="B5" s="3" t="s">
        <v>484</v>
      </c>
      <c r="C5" s="3" t="s">
        <v>485</v>
      </c>
      <c r="D5" s="3" t="s">
        <v>486</v>
      </c>
      <c r="E5" s="3" t="s">
        <v>487</v>
      </c>
    </row>
    <row r="6" customFormat="false" ht="28.35" hidden="false" customHeight="false" outlineLevel="0" collapsed="false">
      <c r="A6" s="3" t="s">
        <v>488</v>
      </c>
      <c r="B6" s="3" t="s">
        <v>489</v>
      </c>
      <c r="C6" s="3" t="s">
        <v>490</v>
      </c>
      <c r="D6" s="3" t="s">
        <v>491</v>
      </c>
      <c r="E6" s="3" t="s">
        <v>492</v>
      </c>
    </row>
    <row r="7" customFormat="false" ht="28.35" hidden="false" customHeight="false" outlineLevel="0" collapsed="false">
      <c r="A7" s="3" t="s">
        <v>493</v>
      </c>
      <c r="B7" s="3" t="s">
        <v>494</v>
      </c>
      <c r="C7" s="3" t="s">
        <v>495</v>
      </c>
      <c r="D7" s="3" t="s">
        <v>496</v>
      </c>
      <c r="E7" s="3" t="s">
        <v>497</v>
      </c>
    </row>
    <row r="8" customFormat="false" ht="28.35" hidden="false" customHeight="false" outlineLevel="0" collapsed="false">
      <c r="A8" s="3" t="s">
        <v>498</v>
      </c>
      <c r="B8" s="3" t="s">
        <v>499</v>
      </c>
      <c r="C8" s="3" t="s">
        <v>500</v>
      </c>
      <c r="D8" s="3" t="s">
        <v>501</v>
      </c>
      <c r="E8" s="3" t="s">
        <v>502</v>
      </c>
    </row>
    <row r="9" customFormat="false" ht="41.75" hidden="false" customHeight="false" outlineLevel="0" collapsed="false">
      <c r="A9" s="3" t="s">
        <v>503</v>
      </c>
      <c r="B9" s="3" t="s">
        <v>504</v>
      </c>
      <c r="C9" s="3" t="s">
        <v>505</v>
      </c>
      <c r="D9" s="3" t="s">
        <v>506</v>
      </c>
      <c r="E9" s="3" t="s">
        <v>507</v>
      </c>
    </row>
    <row r="10" customFormat="false" ht="28.35" hidden="false" customHeight="false" outlineLevel="0" collapsed="false">
      <c r="A10" s="3" t="s">
        <v>508</v>
      </c>
      <c r="B10" s="3" t="s">
        <v>509</v>
      </c>
      <c r="C10" s="3" t="s">
        <v>510</v>
      </c>
      <c r="D10" s="3" t="s">
        <v>511</v>
      </c>
      <c r="E10" s="3" t="s">
        <v>512</v>
      </c>
    </row>
    <row r="11" customFormat="false" ht="28.35" hidden="false" customHeight="false" outlineLevel="0" collapsed="false">
      <c r="A11" s="3" t="s">
        <v>513</v>
      </c>
      <c r="B11" s="3" t="s">
        <v>514</v>
      </c>
      <c r="C11" s="3" t="s">
        <v>515</v>
      </c>
      <c r="D11" s="3" t="s">
        <v>516</v>
      </c>
      <c r="E11" s="3" t="s">
        <v>517</v>
      </c>
    </row>
    <row r="12" customFormat="false" ht="28.35" hidden="false" customHeight="false" outlineLevel="0" collapsed="false">
      <c r="A12" s="3" t="s">
        <v>518</v>
      </c>
      <c r="B12" s="3" t="s">
        <v>519</v>
      </c>
      <c r="C12" s="3" t="s">
        <v>520</v>
      </c>
      <c r="D12" s="3" t="s">
        <v>521</v>
      </c>
      <c r="E12" s="3" t="s">
        <v>522</v>
      </c>
    </row>
    <row r="13" customFormat="false" ht="28.35" hidden="false" customHeight="false" outlineLevel="0" collapsed="false">
      <c r="A13" s="3" t="s">
        <v>523</v>
      </c>
      <c r="B13" s="3" t="s">
        <v>524</v>
      </c>
      <c r="C13" s="3" t="s">
        <v>525</v>
      </c>
      <c r="D13" s="3" t="s">
        <v>526</v>
      </c>
      <c r="E13" s="3" t="s">
        <v>527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8"/>
  </cols>
  <sheetData>
    <row r="1" customFormat="false" ht="21.75" hidden="false" customHeight="true" outlineLevel="0" collapsed="false">
      <c r="A1" s="4" t="s">
        <v>528</v>
      </c>
      <c r="B1" s="4"/>
      <c r="C1" s="4"/>
      <c r="D1" s="4"/>
      <c r="E1" s="4"/>
      <c r="F1" s="4"/>
    </row>
    <row r="2" customFormat="false" ht="21.75" hidden="false" customHeight="true" outlineLevel="0" collapsed="false">
      <c r="A2" s="10" t="s">
        <v>529</v>
      </c>
      <c r="B2" s="10"/>
      <c r="C2" s="10"/>
      <c r="D2" s="10"/>
      <c r="E2" s="10"/>
      <c r="F2" s="10"/>
    </row>
    <row r="3" customFormat="false" ht="28.35" hidden="false" customHeight="false" outlineLevel="0" collapsed="false">
      <c r="A3" s="3" t="s">
        <v>530</v>
      </c>
      <c r="B3" s="3" t="s">
        <v>531</v>
      </c>
      <c r="C3" s="3" t="s">
        <v>532</v>
      </c>
      <c r="D3" s="3" t="s">
        <v>533</v>
      </c>
      <c r="E3" s="3" t="s">
        <v>534</v>
      </c>
    </row>
    <row r="4" customFormat="false" ht="21.75" hidden="false" customHeight="true" outlineLevel="0" collapsed="false">
      <c r="A4" s="3" t="s">
        <v>535</v>
      </c>
      <c r="B4" s="3" t="s">
        <v>536</v>
      </c>
      <c r="C4" s="3" t="s">
        <v>537</v>
      </c>
      <c r="D4" s="3" t="s">
        <v>538</v>
      </c>
      <c r="E4" s="3" t="s">
        <v>539</v>
      </c>
    </row>
    <row r="5" customFormat="false" ht="28.35" hidden="false" customHeight="false" outlineLevel="0" collapsed="false">
      <c r="A5" s="3" t="s">
        <v>540</v>
      </c>
      <c r="B5" s="3" t="s">
        <v>541</v>
      </c>
      <c r="C5" s="3" t="s">
        <v>542</v>
      </c>
      <c r="D5" s="3" t="s">
        <v>543</v>
      </c>
      <c r="E5" s="3" t="s">
        <v>544</v>
      </c>
    </row>
    <row r="6" customFormat="false" ht="28.35" hidden="false" customHeight="false" outlineLevel="0" collapsed="false">
      <c r="A6" s="3" t="s">
        <v>545</v>
      </c>
      <c r="B6" s="3" t="s">
        <v>546</v>
      </c>
      <c r="C6" s="3" t="s">
        <v>547</v>
      </c>
      <c r="D6" s="3" t="s">
        <v>548</v>
      </c>
      <c r="E6" s="3" t="s">
        <v>549</v>
      </c>
    </row>
    <row r="7" customFormat="false" ht="28.35" hidden="false" customHeight="false" outlineLevel="0" collapsed="false">
      <c r="A7" s="3" t="s">
        <v>550</v>
      </c>
      <c r="B7" s="3" t="s">
        <v>551</v>
      </c>
      <c r="C7" s="3" t="s">
        <v>552</v>
      </c>
      <c r="D7" s="3" t="s">
        <v>553</v>
      </c>
      <c r="E7" s="3" t="s">
        <v>554</v>
      </c>
    </row>
    <row r="8" customFormat="false" ht="28.35" hidden="false" customHeight="false" outlineLevel="0" collapsed="false">
      <c r="A8" s="3" t="s">
        <v>555</v>
      </c>
      <c r="B8" s="3" t="s">
        <v>556</v>
      </c>
      <c r="C8" s="3" t="s">
        <v>557</v>
      </c>
      <c r="D8" s="3" t="s">
        <v>558</v>
      </c>
      <c r="E8" s="3" t="s">
        <v>559</v>
      </c>
    </row>
    <row r="9" customFormat="false" ht="28.35" hidden="false" customHeight="false" outlineLevel="0" collapsed="false">
      <c r="A9" s="3" t="s">
        <v>560</v>
      </c>
      <c r="B9" s="3" t="s">
        <v>561</v>
      </c>
      <c r="C9" s="3" t="s">
        <v>562</v>
      </c>
      <c r="D9" s="3" t="s">
        <v>563</v>
      </c>
      <c r="E9" s="3" t="s">
        <v>564</v>
      </c>
    </row>
    <row r="10" customFormat="false" ht="28.35" hidden="false" customHeight="false" outlineLevel="0" collapsed="false">
      <c r="A10" s="3" t="s">
        <v>565</v>
      </c>
      <c r="B10" s="3" t="s">
        <v>566</v>
      </c>
      <c r="C10" s="3" t="s">
        <v>567</v>
      </c>
      <c r="D10" s="3" t="s">
        <v>568</v>
      </c>
      <c r="E10" s="3" t="s">
        <v>569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40"/>
  </cols>
  <sheetData>
    <row r="1" customFormat="false" ht="21.75" hidden="false" customHeight="true" outlineLevel="0" collapsed="false">
      <c r="A1" s="4" t="s">
        <v>570</v>
      </c>
      <c r="B1" s="4"/>
      <c r="C1" s="4"/>
      <c r="D1" s="4"/>
      <c r="E1" s="4"/>
      <c r="F1" s="4"/>
    </row>
    <row r="2" customFormat="false" ht="21.75" hidden="false" customHeight="true" outlineLevel="0" collapsed="false">
      <c r="A2" s="10" t="s">
        <v>0</v>
      </c>
      <c r="B2" s="10"/>
      <c r="C2" s="10"/>
      <c r="D2" s="10"/>
      <c r="E2" s="10"/>
      <c r="F2" s="10"/>
    </row>
    <row r="3" customFormat="false" ht="15" hidden="false" customHeight="false" outlineLevel="0" collapsed="false">
      <c r="A3" s="3" t="s">
        <v>571</v>
      </c>
      <c r="B3" s="3" t="s">
        <v>572</v>
      </c>
      <c r="C3" s="3" t="s">
        <v>26</v>
      </c>
    </row>
    <row r="4" customFormat="false" ht="21.75" hidden="false" customHeight="true" outlineLevel="0" collapsed="false">
      <c r="A4" s="3" t="s">
        <v>573</v>
      </c>
      <c r="B4" s="3" t="s">
        <v>574</v>
      </c>
      <c r="C4" s="3" t="s">
        <v>119</v>
      </c>
    </row>
    <row r="5" customFormat="false" ht="28.35" hidden="false" customHeight="false" outlineLevel="0" collapsed="false">
      <c r="A5" s="3" t="s">
        <v>575</v>
      </c>
      <c r="B5" s="3" t="s">
        <v>576</v>
      </c>
      <c r="C5" s="3" t="s">
        <v>5</v>
      </c>
    </row>
    <row r="6" customFormat="false" ht="15" hidden="false" customHeight="false" outlineLevel="0" collapsed="false">
      <c r="A6" s="3" t="s">
        <v>577</v>
      </c>
      <c r="B6" s="3" t="s">
        <v>578</v>
      </c>
      <c r="C6" s="3" t="s">
        <v>6</v>
      </c>
    </row>
    <row r="7" customFormat="false" ht="28.35" hidden="false" customHeight="false" outlineLevel="0" collapsed="false">
      <c r="A7" s="3" t="s">
        <v>579</v>
      </c>
      <c r="B7" s="3" t="s">
        <v>580</v>
      </c>
      <c r="C7" s="3" t="s">
        <v>30</v>
      </c>
    </row>
    <row r="8" customFormat="false" ht="15" hidden="false" customHeight="false" outlineLevel="0" collapsed="false">
      <c r="A8" s="3" t="s">
        <v>581</v>
      </c>
      <c r="B8" s="3" t="s">
        <v>582</v>
      </c>
      <c r="C8" s="3" t="s">
        <v>8</v>
      </c>
    </row>
    <row r="9" customFormat="false" ht="28.35" hidden="false" customHeight="false" outlineLevel="0" collapsed="false">
      <c r="A9" s="3" t="s">
        <v>583</v>
      </c>
      <c r="B9" s="3" t="s">
        <v>584</v>
      </c>
      <c r="C9" s="3" t="s">
        <v>9</v>
      </c>
    </row>
    <row r="10" customFormat="false" ht="15" hidden="false" customHeight="false" outlineLevel="0" collapsed="false">
      <c r="A10" s="3" t="s">
        <v>585</v>
      </c>
      <c r="B10" s="3" t="s">
        <v>586</v>
      </c>
      <c r="C10" s="3" t="s">
        <v>587</v>
      </c>
    </row>
    <row r="11" customFormat="false" ht="28.35" hidden="false" customHeight="false" outlineLevel="0" collapsed="false">
      <c r="A11" s="3" t="s">
        <v>588</v>
      </c>
      <c r="B11" s="3" t="s">
        <v>589</v>
      </c>
      <c r="C11" s="3" t="s">
        <v>11</v>
      </c>
    </row>
    <row r="12" customFormat="false" ht="15" hidden="false" customHeight="false" outlineLevel="0" collapsed="false">
      <c r="A12" s="3" t="s">
        <v>590</v>
      </c>
      <c r="B12" s="3" t="s">
        <v>591</v>
      </c>
      <c r="C12" s="3" t="s">
        <v>12</v>
      </c>
    </row>
    <row r="13" customFormat="false" ht="15" hidden="false" customHeight="false" outlineLevel="0" collapsed="false">
      <c r="A13" s="3" t="s">
        <v>592</v>
      </c>
      <c r="B13" s="3" t="s">
        <v>593</v>
      </c>
      <c r="C13" s="3" t="s">
        <v>13</v>
      </c>
    </row>
    <row r="14" customFormat="false" ht="28.35" hidden="false" customHeight="false" outlineLevel="0" collapsed="false">
      <c r="A14" s="3" t="s">
        <v>594</v>
      </c>
      <c r="B14" s="3" t="s">
        <v>595</v>
      </c>
      <c r="C14" s="3" t="s">
        <v>14</v>
      </c>
    </row>
    <row r="15" customFormat="false" ht="28.35" hidden="false" customHeight="false" outlineLevel="0" collapsed="false">
      <c r="A15" s="3" t="s">
        <v>596</v>
      </c>
      <c r="B15" s="3" t="s">
        <v>597</v>
      </c>
      <c r="C15" s="3" t="s">
        <v>37</v>
      </c>
    </row>
    <row r="16" customFormat="false" ht="15" hidden="false" customHeight="false" outlineLevel="0" collapsed="false">
      <c r="A16" s="3" t="s">
        <v>598</v>
      </c>
      <c r="B16" s="3" t="s">
        <v>599</v>
      </c>
      <c r="C16" s="3" t="s">
        <v>34</v>
      </c>
    </row>
    <row r="17" customFormat="false" ht="28.35" hidden="false" customHeight="false" outlineLevel="0" collapsed="false">
      <c r="A17" s="3" t="s">
        <v>600</v>
      </c>
      <c r="B17" s="3" t="s">
        <v>601</v>
      </c>
      <c r="C17" s="3" t="s">
        <v>38</v>
      </c>
    </row>
    <row r="18" customFormat="false" ht="15" hidden="false" customHeight="false" outlineLevel="0" collapsed="false">
      <c r="A18" s="3" t="s">
        <v>602</v>
      </c>
      <c r="B18" s="3" t="s">
        <v>603</v>
      </c>
      <c r="C18" s="3" t="s">
        <v>16</v>
      </c>
    </row>
    <row r="19" customFormat="false" ht="15" hidden="false" customHeight="false" outlineLevel="0" collapsed="false">
      <c r="A19" s="3" t="s">
        <v>604</v>
      </c>
      <c r="B19" s="3" t="s">
        <v>605</v>
      </c>
      <c r="C19" s="3" t="s">
        <v>606</v>
      </c>
    </row>
    <row r="20" customFormat="false" ht="28.35" hidden="false" customHeight="false" outlineLevel="0" collapsed="false">
      <c r="A20" s="3" t="s">
        <v>607</v>
      </c>
      <c r="B20" s="3" t="s">
        <v>608</v>
      </c>
      <c r="C20" s="3" t="s">
        <v>609</v>
      </c>
    </row>
    <row r="21" customFormat="false" ht="28.35" hidden="false" customHeight="false" outlineLevel="0" collapsed="false">
      <c r="A21" s="3" t="s">
        <v>610</v>
      </c>
      <c r="B21" s="3" t="s">
        <v>611</v>
      </c>
      <c r="C21" s="3" t="s">
        <v>612</v>
      </c>
    </row>
    <row r="22" customFormat="false" ht="28.35" hidden="false" customHeight="false" outlineLevel="0" collapsed="false">
      <c r="A22" s="3" t="s">
        <v>613</v>
      </c>
      <c r="B22" s="3" t="s">
        <v>614</v>
      </c>
      <c r="C22" s="3" t="s">
        <v>615</v>
      </c>
    </row>
    <row r="23" customFormat="false" ht="41.75" hidden="false" customHeight="false" outlineLevel="0" collapsed="false">
      <c r="A23" s="3" t="s">
        <v>616</v>
      </c>
      <c r="B23" s="3" t="s">
        <v>617</v>
      </c>
      <c r="C23" s="3" t="s">
        <v>618</v>
      </c>
    </row>
    <row r="25" customFormat="false" ht="15" hidden="false" customHeight="false" outlineLevel="0" collapsed="false">
      <c r="A25" s="9" t="s">
        <v>619</v>
      </c>
    </row>
    <row r="26" customFormat="false" ht="28.35" hidden="false" customHeight="false" outlineLevel="0" collapsed="false">
      <c r="A26" s="3" t="s">
        <v>620</v>
      </c>
      <c r="B26" s="3" t="s">
        <v>621</v>
      </c>
      <c r="C26" s="3" t="s">
        <v>622</v>
      </c>
    </row>
    <row r="27" customFormat="false" ht="41.75" hidden="false" customHeight="false" outlineLevel="0" collapsed="false">
      <c r="A27" s="3" t="s">
        <v>623</v>
      </c>
      <c r="B27" s="3" t="s">
        <v>624</v>
      </c>
      <c r="C27" s="3" t="s">
        <v>625</v>
      </c>
    </row>
    <row r="28" customFormat="false" ht="28.35" hidden="false" customHeight="false" outlineLevel="0" collapsed="false">
      <c r="A28" s="3" t="s">
        <v>626</v>
      </c>
      <c r="B28" s="3" t="s">
        <v>627</v>
      </c>
      <c r="C28" s="3" t="s">
        <v>628</v>
      </c>
    </row>
    <row r="30" customFormat="false" ht="15" hidden="false" customHeight="false" outlineLevel="0" collapsed="false">
      <c r="A30" s="9" t="s">
        <v>629</v>
      </c>
    </row>
    <row r="31" customFormat="false" ht="28.35" hidden="false" customHeight="false" outlineLevel="0" collapsed="false">
      <c r="A31" s="3" t="s">
        <v>630</v>
      </c>
      <c r="B31" s="3" t="s">
        <v>631</v>
      </c>
      <c r="C31" s="3" t="s">
        <v>632</v>
      </c>
    </row>
    <row r="32" customFormat="false" ht="28.35" hidden="false" customHeight="false" outlineLevel="0" collapsed="false">
      <c r="A32" s="3" t="s">
        <v>633</v>
      </c>
      <c r="B32" s="3" t="s">
        <v>634</v>
      </c>
      <c r="C32" s="3" t="s">
        <v>635</v>
      </c>
    </row>
    <row r="33" customFormat="false" ht="28.35" hidden="false" customHeight="false" outlineLevel="0" collapsed="false">
      <c r="A33" s="3" t="s">
        <v>636</v>
      </c>
      <c r="B33" s="3" t="s">
        <v>637</v>
      </c>
      <c r="C33" s="3" t="s">
        <v>638</v>
      </c>
    </row>
    <row r="34" customFormat="false" ht="28.35" hidden="false" customHeight="false" outlineLevel="0" collapsed="false">
      <c r="A34" s="3" t="s">
        <v>639</v>
      </c>
      <c r="B34" s="3" t="s">
        <v>640</v>
      </c>
      <c r="C34" s="3" t="s">
        <v>641</v>
      </c>
    </row>
    <row r="35" customFormat="false" ht="28.35" hidden="false" customHeight="false" outlineLevel="0" collapsed="false">
      <c r="A35" s="3" t="s">
        <v>642</v>
      </c>
      <c r="B35" s="3" t="s">
        <v>643</v>
      </c>
      <c r="C35" s="3" t="s">
        <v>644</v>
      </c>
    </row>
    <row r="36" customFormat="false" ht="41.75" hidden="false" customHeight="false" outlineLevel="0" collapsed="false">
      <c r="A36" s="3" t="s">
        <v>645</v>
      </c>
      <c r="B36" s="3" t="s">
        <v>646</v>
      </c>
      <c r="C36" s="3" t="s">
        <v>647</v>
      </c>
    </row>
    <row r="37" customFormat="false" ht="28.35" hidden="false" customHeight="false" outlineLevel="0" collapsed="false">
      <c r="A37" s="3" t="s">
        <v>648</v>
      </c>
      <c r="B37" s="3" t="s">
        <v>649</v>
      </c>
      <c r="C37" s="3" t="s">
        <v>650</v>
      </c>
    </row>
    <row r="39" customFormat="false" ht="15" hidden="false" customHeight="false" outlineLevel="0" collapsed="false">
      <c r="A39" s="0" t="s">
        <v>651</v>
      </c>
      <c r="B39" s="0" t="s">
        <v>652</v>
      </c>
      <c r="C39" s="0" t="s">
        <v>653</v>
      </c>
    </row>
    <row r="40" customFormat="false" ht="15" hidden="false" customHeight="false" outlineLevel="0" collapsed="false">
      <c r="A40" s="0" t="s">
        <v>654</v>
      </c>
      <c r="B40" s="0" t="s">
        <v>655</v>
      </c>
      <c r="C40" s="0" t="s">
        <v>656</v>
      </c>
    </row>
    <row r="41" customFormat="false" ht="15" hidden="false" customHeight="false" outlineLevel="0" collapsed="false">
      <c r="A41" s="0" t="s">
        <v>657</v>
      </c>
      <c r="B41" s="0" t="s">
        <v>658</v>
      </c>
      <c r="C41" s="0" t="s">
        <v>659</v>
      </c>
    </row>
    <row r="42" customFormat="false" ht="15" hidden="false" customHeight="false" outlineLevel="0" collapsed="false">
      <c r="A42" s="0" t="s">
        <v>660</v>
      </c>
      <c r="B42" s="0" t="s">
        <v>661</v>
      </c>
      <c r="C42" s="0" t="s">
        <v>662</v>
      </c>
    </row>
    <row r="43" customFormat="false" ht="15" hidden="false" customHeight="false" outlineLevel="0" collapsed="false">
      <c r="A43" s="0" t="s">
        <v>663</v>
      </c>
      <c r="B43" s="0" t="s">
        <v>664</v>
      </c>
      <c r="C43" s="0" t="s">
        <v>665</v>
      </c>
    </row>
    <row r="44" customFormat="false" ht="15" hidden="false" customHeight="false" outlineLevel="0" collapsed="false">
      <c r="A44" s="0" t="s">
        <v>666</v>
      </c>
      <c r="B44" s="0" t="s">
        <v>667</v>
      </c>
      <c r="C44" s="0" t="s">
        <v>668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40"/>
  </cols>
  <sheetData>
    <row r="1" customFormat="false" ht="21.75" hidden="false" customHeight="true" outlineLevel="0" collapsed="false">
      <c r="A1" s="11" t="s">
        <v>669</v>
      </c>
      <c r="B1" s="11"/>
      <c r="C1" s="11"/>
      <c r="D1" s="11"/>
    </row>
    <row r="2" customFormat="false" ht="21.75" hidden="false" customHeight="true" outlineLevel="0" collapsed="false">
      <c r="A2" s="12" t="s">
        <v>670</v>
      </c>
      <c r="B2" s="12"/>
      <c r="C2" s="12"/>
      <c r="D2" s="12"/>
    </row>
    <row r="4" customFormat="false" ht="21.75" hidden="false" customHeight="true" outlineLevel="0" collapsed="false">
      <c r="A4" s="13" t="s">
        <v>671</v>
      </c>
      <c r="B4" s="13" t="s">
        <v>672</v>
      </c>
      <c r="C4" s="13" t="s">
        <v>673</v>
      </c>
      <c r="D4" s="13" t="s">
        <v>674</v>
      </c>
    </row>
    <row r="5" customFormat="false" ht="28.35" hidden="false" customHeight="false" outlineLevel="0" collapsed="false">
      <c r="A5" s="3" t="s">
        <v>675</v>
      </c>
      <c r="B5" s="3" t="s">
        <v>676</v>
      </c>
      <c r="C5" s="3" t="s">
        <v>677</v>
      </c>
      <c r="D5" s="3" t="s">
        <v>678</v>
      </c>
    </row>
    <row r="6" customFormat="false" ht="28.35" hidden="false" customHeight="false" outlineLevel="0" collapsed="false">
      <c r="A6" s="3" t="s">
        <v>679</v>
      </c>
      <c r="B6" s="3" t="s">
        <v>680</v>
      </c>
      <c r="C6" s="3" t="s">
        <v>681</v>
      </c>
      <c r="D6" s="3" t="s">
        <v>682</v>
      </c>
    </row>
    <row r="7" customFormat="false" ht="28.35" hidden="false" customHeight="false" outlineLevel="0" collapsed="false">
      <c r="A7" s="3" t="s">
        <v>683</v>
      </c>
      <c r="B7" s="3" t="s">
        <v>684</v>
      </c>
      <c r="C7" s="3" t="s">
        <v>685</v>
      </c>
      <c r="D7" s="3" t="s">
        <v>686</v>
      </c>
    </row>
    <row r="8" customFormat="false" ht="28.35" hidden="false" customHeight="false" outlineLevel="0" collapsed="false">
      <c r="A8" s="3" t="s">
        <v>687</v>
      </c>
      <c r="B8" s="3" t="s">
        <v>688</v>
      </c>
      <c r="C8" s="3" t="s">
        <v>689</v>
      </c>
      <c r="D8" s="3" t="s">
        <v>690</v>
      </c>
    </row>
    <row r="9" customFormat="false" ht="28.35" hidden="false" customHeight="false" outlineLevel="0" collapsed="false">
      <c r="A9" s="3" t="s">
        <v>691</v>
      </c>
      <c r="B9" s="3" t="s">
        <v>692</v>
      </c>
      <c r="C9" s="3" t="s">
        <v>693</v>
      </c>
      <c r="D9" s="3" t="s">
        <v>694</v>
      </c>
    </row>
    <row r="10" customFormat="false" ht="28.35" hidden="false" customHeight="false" outlineLevel="0" collapsed="false">
      <c r="A10" s="3" t="s">
        <v>695</v>
      </c>
      <c r="B10" s="3" t="s">
        <v>696</v>
      </c>
      <c r="C10" s="3" t="s">
        <v>697</v>
      </c>
      <c r="D10" s="3" t="s">
        <v>698</v>
      </c>
    </row>
    <row r="11" customFormat="false" ht="28.35" hidden="false" customHeight="false" outlineLevel="0" collapsed="false">
      <c r="A11" s="3" t="s">
        <v>699</v>
      </c>
      <c r="B11" s="3" t="s">
        <v>700</v>
      </c>
      <c r="C11" s="3" t="s">
        <v>701</v>
      </c>
      <c r="D11" s="3" t="s">
        <v>702</v>
      </c>
    </row>
    <row r="12" customFormat="false" ht="28.35" hidden="false" customHeight="false" outlineLevel="0" collapsed="false">
      <c r="A12" s="3" t="s">
        <v>703</v>
      </c>
      <c r="B12" s="3" t="s">
        <v>704</v>
      </c>
      <c r="C12" s="3" t="s">
        <v>705</v>
      </c>
      <c r="D12" s="3" t="s">
        <v>706</v>
      </c>
    </row>
    <row r="13" customFormat="false" ht="28.35" hidden="false" customHeight="false" outlineLevel="0" collapsed="false">
      <c r="A13" s="3" t="s">
        <v>707</v>
      </c>
      <c r="B13" s="3" t="s">
        <v>708</v>
      </c>
      <c r="C13" s="3" t="s">
        <v>709</v>
      </c>
      <c r="D13" s="3" t="s">
        <v>710</v>
      </c>
    </row>
    <row r="14" customFormat="false" ht="28.35" hidden="false" customHeight="false" outlineLevel="0" collapsed="false">
      <c r="A14" s="3" t="s">
        <v>711</v>
      </c>
      <c r="B14" s="3" t="s">
        <v>712</v>
      </c>
      <c r="C14" s="3" t="s">
        <v>713</v>
      </c>
      <c r="D14" s="3" t="s">
        <v>714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42"/>
  </cols>
  <sheetData>
    <row r="1" customFormat="false" ht="21.75" hidden="false" customHeight="true" outlineLevel="0" collapsed="false">
      <c r="A1" s="4" t="s">
        <v>715</v>
      </c>
      <c r="B1" s="4"/>
      <c r="C1" s="4"/>
      <c r="D1" s="4"/>
      <c r="E1" s="4"/>
      <c r="F1" s="4"/>
    </row>
    <row r="2" customFormat="false" ht="21.75" hidden="false" customHeight="true" outlineLevel="0" collapsed="false">
      <c r="A2" s="10" t="s">
        <v>716</v>
      </c>
      <c r="B2" s="10"/>
      <c r="C2" s="10"/>
      <c r="D2" s="10"/>
      <c r="E2" s="10"/>
      <c r="F2" s="10"/>
    </row>
    <row r="3" customFormat="false" ht="28.35" hidden="false" customHeight="false" outlineLevel="0" collapsed="false">
      <c r="A3" s="3" t="s">
        <v>717</v>
      </c>
      <c r="B3" s="3" t="s">
        <v>718</v>
      </c>
      <c r="C3" s="3" t="s">
        <v>719</v>
      </c>
      <c r="D3" s="3" t="s">
        <v>720</v>
      </c>
    </row>
    <row r="4" customFormat="false" ht="21.75" hidden="false" customHeight="true" outlineLevel="0" collapsed="false">
      <c r="A4" s="3" t="s">
        <v>721</v>
      </c>
      <c r="B4" s="3" t="s">
        <v>722</v>
      </c>
      <c r="C4" s="3" t="s">
        <v>723</v>
      </c>
      <c r="D4" s="3" t="s">
        <v>724</v>
      </c>
    </row>
    <row r="5" customFormat="false" ht="41.75" hidden="false" customHeight="false" outlineLevel="0" collapsed="false">
      <c r="A5" s="3" t="s">
        <v>725</v>
      </c>
      <c r="B5" s="3" t="s">
        <v>726</v>
      </c>
      <c r="C5" s="3" t="s">
        <v>727</v>
      </c>
      <c r="D5" s="3" t="s">
        <v>728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42"/>
  </cols>
  <sheetData>
    <row r="1" customFormat="false" ht="21.75" hidden="false" customHeight="true" outlineLevel="0" collapsed="false">
      <c r="A1" s="14" t="s">
        <v>729</v>
      </c>
      <c r="B1" s="14"/>
      <c r="C1" s="14"/>
      <c r="D1" s="14"/>
      <c r="E1" s="14"/>
      <c r="F1" s="14"/>
    </row>
    <row r="2" customFormat="false" ht="21.75" hidden="false" customHeight="true" outlineLevel="0" collapsed="false">
      <c r="A2" s="15" t="s">
        <v>730</v>
      </c>
      <c r="B2" s="15"/>
      <c r="C2" s="15"/>
      <c r="D2" s="15"/>
      <c r="E2" s="15"/>
      <c r="F2" s="15"/>
    </row>
    <row r="4" customFormat="false" ht="21.75" hidden="false" customHeight="true" outlineLevel="0" collapsed="false">
      <c r="A4" s="16" t="s">
        <v>731</v>
      </c>
      <c r="B4" s="16" t="s">
        <v>732</v>
      </c>
      <c r="C4" s="16" t="s">
        <v>733</v>
      </c>
      <c r="D4" s="16" t="s">
        <v>734</v>
      </c>
      <c r="E4" s="16" t="s">
        <v>735</v>
      </c>
      <c r="F4" s="16" t="s">
        <v>736</v>
      </c>
    </row>
    <row r="5" customFormat="false" ht="28.35" hidden="false" customHeight="false" outlineLevel="0" collapsed="false">
      <c r="A5" s="3" t="n">
        <v>1</v>
      </c>
      <c r="B5" s="3" t="s">
        <v>737</v>
      </c>
      <c r="C5" s="3" t="s">
        <v>738</v>
      </c>
      <c r="D5" s="3" t="s">
        <v>739</v>
      </c>
      <c r="E5" s="3" t="s">
        <v>740</v>
      </c>
      <c r="F5" s="3" t="s">
        <v>741</v>
      </c>
    </row>
    <row r="6" customFormat="false" ht="28.35" hidden="false" customHeight="false" outlineLevel="0" collapsed="false">
      <c r="A6" s="3" t="n">
        <v>2</v>
      </c>
      <c r="B6" s="3" t="s">
        <v>742</v>
      </c>
      <c r="C6" s="3" t="s">
        <v>743</v>
      </c>
      <c r="D6" s="3" t="s">
        <v>744</v>
      </c>
      <c r="E6" s="3" t="s">
        <v>745</v>
      </c>
      <c r="F6" s="3" t="s">
        <v>746</v>
      </c>
    </row>
    <row r="7" customFormat="false" ht="28.35" hidden="false" customHeight="false" outlineLevel="0" collapsed="false">
      <c r="A7" s="3" t="n">
        <v>3</v>
      </c>
      <c r="B7" s="3" t="s">
        <v>747</v>
      </c>
      <c r="C7" s="3" t="s">
        <v>748</v>
      </c>
      <c r="D7" s="3" t="s">
        <v>749</v>
      </c>
      <c r="E7" s="3" t="s">
        <v>750</v>
      </c>
      <c r="F7" s="3" t="s">
        <v>751</v>
      </c>
    </row>
    <row r="8" customFormat="false" ht="28.35" hidden="false" customHeight="false" outlineLevel="0" collapsed="false">
      <c r="A8" s="3" t="n">
        <v>4</v>
      </c>
      <c r="B8" s="3" t="s">
        <v>752</v>
      </c>
      <c r="C8" s="3" t="s">
        <v>753</v>
      </c>
      <c r="D8" s="3" t="s">
        <v>754</v>
      </c>
      <c r="E8" s="3" t="s">
        <v>755</v>
      </c>
      <c r="F8" s="3" t="s">
        <v>756</v>
      </c>
    </row>
    <row r="9" customFormat="false" ht="28.35" hidden="false" customHeight="false" outlineLevel="0" collapsed="false">
      <c r="A9" s="3" t="n">
        <v>5</v>
      </c>
      <c r="B9" s="3" t="s">
        <v>757</v>
      </c>
      <c r="C9" s="3" t="s">
        <v>758</v>
      </c>
      <c r="D9" s="3" t="s">
        <v>759</v>
      </c>
      <c r="E9" s="3" t="s">
        <v>760</v>
      </c>
      <c r="F9" s="3" t="s">
        <v>761</v>
      </c>
    </row>
    <row r="10" customFormat="false" ht="28.35" hidden="false" customHeight="false" outlineLevel="0" collapsed="false">
      <c r="A10" s="3" t="n">
        <v>6</v>
      </c>
      <c r="B10" s="3" t="s">
        <v>762</v>
      </c>
      <c r="C10" s="3" t="s">
        <v>763</v>
      </c>
      <c r="D10" s="3" t="s">
        <v>764</v>
      </c>
      <c r="E10" s="3" t="s">
        <v>765</v>
      </c>
      <c r="F10" s="3" t="s">
        <v>766</v>
      </c>
    </row>
    <row r="11" customFormat="false" ht="41.75" hidden="false" customHeight="false" outlineLevel="0" collapsed="false">
      <c r="A11" s="3" t="n">
        <v>7</v>
      </c>
      <c r="B11" s="3" t="s">
        <v>767</v>
      </c>
      <c r="C11" s="3" t="s">
        <v>768</v>
      </c>
      <c r="D11" s="3" t="s">
        <v>769</v>
      </c>
      <c r="E11" s="3" t="s">
        <v>770</v>
      </c>
      <c r="F11" s="3" t="s">
        <v>771</v>
      </c>
    </row>
    <row r="14" customFormat="false" ht="15" hidden="false" customHeight="false" outlineLevel="0" collapsed="false">
      <c r="A14" s="17" t="s">
        <v>772</v>
      </c>
      <c r="B14" s="17" t="s">
        <v>773</v>
      </c>
      <c r="C14" s="17" t="s">
        <v>774</v>
      </c>
      <c r="D14" s="17" t="s">
        <v>775</v>
      </c>
    </row>
    <row r="15" customFormat="false" ht="28.35" hidden="false" customHeight="false" outlineLevel="0" collapsed="false">
      <c r="A15" s="3" t="s">
        <v>776</v>
      </c>
      <c r="B15" s="3" t="s">
        <v>777</v>
      </c>
      <c r="C15" s="3" t="s">
        <v>778</v>
      </c>
      <c r="D15" s="3" t="s">
        <v>779</v>
      </c>
    </row>
    <row r="16" customFormat="false" ht="41.75" hidden="false" customHeight="false" outlineLevel="0" collapsed="false">
      <c r="A16" s="3" t="s">
        <v>780</v>
      </c>
      <c r="B16" s="3" t="s">
        <v>781</v>
      </c>
      <c r="C16" s="3" t="s">
        <v>782</v>
      </c>
      <c r="D16" s="3" t="s">
        <v>783</v>
      </c>
    </row>
    <row r="17" customFormat="false" ht="28.35" hidden="false" customHeight="false" outlineLevel="0" collapsed="false">
      <c r="A17" s="3" t="s">
        <v>784</v>
      </c>
      <c r="B17" s="3" t="s">
        <v>785</v>
      </c>
      <c r="C17" s="3" t="s">
        <v>786</v>
      </c>
      <c r="D17" s="3" t="s">
        <v>787</v>
      </c>
    </row>
    <row r="18" customFormat="false" ht="41.75" hidden="false" customHeight="false" outlineLevel="0" collapsed="false">
      <c r="A18" s="3" t="s">
        <v>788</v>
      </c>
      <c r="B18" s="3" t="s">
        <v>789</v>
      </c>
      <c r="C18" s="3" t="s">
        <v>786</v>
      </c>
      <c r="D18" s="3" t="s">
        <v>790</v>
      </c>
    </row>
    <row r="19" customFormat="false" ht="28.35" hidden="false" customHeight="false" outlineLevel="0" collapsed="false">
      <c r="A19" s="3" t="s">
        <v>791</v>
      </c>
      <c r="B19" s="3" t="s">
        <v>792</v>
      </c>
      <c r="C19" s="3" t="s">
        <v>793</v>
      </c>
      <c r="D19" s="3" t="s">
        <v>794</v>
      </c>
    </row>
    <row r="20" customFormat="false" ht="41.75" hidden="false" customHeight="false" outlineLevel="0" collapsed="false">
      <c r="A20" s="3" t="s">
        <v>795</v>
      </c>
      <c r="B20" s="3" t="s">
        <v>796</v>
      </c>
      <c r="C20" s="3" t="s">
        <v>668</v>
      </c>
      <c r="D20" s="3" t="s">
        <v>797</v>
      </c>
    </row>
    <row r="21" customFormat="false" ht="41.75" hidden="false" customHeight="false" outlineLevel="0" collapsed="false">
      <c r="A21" s="3" t="s">
        <v>798</v>
      </c>
      <c r="B21" s="3" t="s">
        <v>799</v>
      </c>
      <c r="C21" s="3" t="s">
        <v>668</v>
      </c>
      <c r="D21" s="3" t="s">
        <v>800</v>
      </c>
    </row>
    <row r="22" customFormat="false" ht="28.35" hidden="false" customHeight="false" outlineLevel="0" collapsed="false">
      <c r="A22" s="3" t="s">
        <v>801</v>
      </c>
      <c r="B22" s="3" t="s">
        <v>802</v>
      </c>
      <c r="C22" s="3" t="s">
        <v>803</v>
      </c>
      <c r="D22" s="3" t="s">
        <v>804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4"/>
    <col collapsed="false" customWidth="true" hidden="false" outlineLevel="0" max="8" min="8" style="0" width="26"/>
  </cols>
  <sheetData>
    <row r="1" customFormat="false" ht="21.75" hidden="false" customHeight="true" outlineLevel="0" collapsed="false">
      <c r="A1" s="14" t="s">
        <v>805</v>
      </c>
      <c r="B1" s="14"/>
      <c r="C1" s="14"/>
      <c r="D1" s="14"/>
      <c r="E1" s="14"/>
      <c r="F1" s="14"/>
      <c r="G1" s="14"/>
      <c r="H1" s="14"/>
    </row>
    <row r="2" customFormat="false" ht="21.75" hidden="false" customHeight="true" outlineLevel="0" collapsed="false">
      <c r="A2" s="15" t="s">
        <v>806</v>
      </c>
      <c r="B2" s="15"/>
      <c r="C2" s="15"/>
      <c r="D2" s="15"/>
      <c r="E2" s="15"/>
      <c r="F2" s="15"/>
      <c r="G2" s="15"/>
      <c r="H2" s="15"/>
    </row>
    <row r="4" customFormat="false" ht="21.75" hidden="false" customHeight="true" outlineLevel="0" collapsed="false">
      <c r="A4" s="16" t="s">
        <v>807</v>
      </c>
      <c r="B4" s="16" t="s">
        <v>808</v>
      </c>
      <c r="C4" s="16" t="s">
        <v>809</v>
      </c>
      <c r="D4" s="16" t="s">
        <v>810</v>
      </c>
      <c r="E4" s="16" t="s">
        <v>811</v>
      </c>
      <c r="F4" s="16" t="s">
        <v>812</v>
      </c>
      <c r="G4" s="16" t="s">
        <v>813</v>
      </c>
      <c r="H4" s="16" t="s">
        <v>814</v>
      </c>
    </row>
    <row r="5" customFormat="false" ht="28.35" hidden="false" customHeight="false" outlineLevel="0" collapsed="false">
      <c r="A5" s="3" t="s">
        <v>815</v>
      </c>
      <c r="B5" s="3" t="s">
        <v>816</v>
      </c>
      <c r="C5" s="3" t="n">
        <v>5</v>
      </c>
      <c r="D5" s="18" t="n">
        <v>0</v>
      </c>
      <c r="E5" s="19" t="n">
        <f aca="false">C5*D5</f>
        <v>0</v>
      </c>
      <c r="F5" s="19" t="n">
        <f aca="false">ABS(C5)*5</f>
        <v>25</v>
      </c>
      <c r="G5" s="3" t="s">
        <v>817</v>
      </c>
      <c r="H5" s="3"/>
    </row>
    <row r="6" customFormat="false" ht="28.35" hidden="false" customHeight="false" outlineLevel="0" collapsed="false">
      <c r="A6" s="3" t="s">
        <v>818</v>
      </c>
      <c r="B6" s="3" t="s">
        <v>819</v>
      </c>
      <c r="C6" s="3" t="n">
        <v>5</v>
      </c>
      <c r="D6" s="18" t="n">
        <v>0</v>
      </c>
      <c r="E6" s="19" t="n">
        <f aca="false">C6*D6</f>
        <v>0</v>
      </c>
      <c r="F6" s="19" t="n">
        <f aca="false">ABS(C6)*5</f>
        <v>25</v>
      </c>
      <c r="G6" s="3" t="s">
        <v>820</v>
      </c>
      <c r="H6" s="3"/>
    </row>
    <row r="7" customFormat="false" ht="28.35" hidden="false" customHeight="false" outlineLevel="0" collapsed="false">
      <c r="A7" s="3" t="s">
        <v>821</v>
      </c>
      <c r="B7" s="3" t="s">
        <v>822</v>
      </c>
      <c r="C7" s="3" t="n">
        <v>4</v>
      </c>
      <c r="D7" s="18" t="n">
        <v>0</v>
      </c>
      <c r="E7" s="19" t="n">
        <f aca="false">C7*D7</f>
        <v>0</v>
      </c>
      <c r="F7" s="19" t="n">
        <f aca="false">ABS(C7)*5</f>
        <v>20</v>
      </c>
      <c r="G7" s="3" t="s">
        <v>823</v>
      </c>
      <c r="H7" s="3"/>
    </row>
    <row r="8" customFormat="false" ht="28.35" hidden="false" customHeight="false" outlineLevel="0" collapsed="false">
      <c r="A8" s="3" t="s">
        <v>824</v>
      </c>
      <c r="B8" s="3" t="s">
        <v>825</v>
      </c>
      <c r="C8" s="3" t="n">
        <v>4</v>
      </c>
      <c r="D8" s="18" t="n">
        <v>0</v>
      </c>
      <c r="E8" s="19" t="n">
        <f aca="false">C8*D8</f>
        <v>0</v>
      </c>
      <c r="F8" s="19" t="n">
        <f aca="false">ABS(C8)*5</f>
        <v>20</v>
      </c>
      <c r="G8" s="3" t="s">
        <v>826</v>
      </c>
      <c r="H8" s="3"/>
    </row>
    <row r="9" customFormat="false" ht="28.35" hidden="false" customHeight="false" outlineLevel="0" collapsed="false">
      <c r="A9" s="3" t="s">
        <v>827</v>
      </c>
      <c r="B9" s="3" t="s">
        <v>828</v>
      </c>
      <c r="C9" s="3" t="n">
        <v>5</v>
      </c>
      <c r="D9" s="18" t="n">
        <v>0</v>
      </c>
      <c r="E9" s="19" t="n">
        <f aca="false">C9*D9</f>
        <v>0</v>
      </c>
      <c r="F9" s="19" t="n">
        <f aca="false">ABS(C9)*5</f>
        <v>25</v>
      </c>
      <c r="G9" s="3" t="s">
        <v>829</v>
      </c>
      <c r="H9" s="3"/>
    </row>
    <row r="10" customFormat="false" ht="28.35" hidden="false" customHeight="false" outlineLevel="0" collapsed="false">
      <c r="A10" s="3" t="s">
        <v>830</v>
      </c>
      <c r="B10" s="3" t="s">
        <v>831</v>
      </c>
      <c r="C10" s="3" t="n">
        <v>3</v>
      </c>
      <c r="D10" s="18" t="n">
        <v>0</v>
      </c>
      <c r="E10" s="19" t="n">
        <f aca="false">C10*D10</f>
        <v>0</v>
      </c>
      <c r="F10" s="19" t="n">
        <f aca="false">ABS(C10)*5</f>
        <v>15</v>
      </c>
      <c r="G10" s="3" t="s">
        <v>832</v>
      </c>
      <c r="H10" s="3"/>
    </row>
    <row r="11" customFormat="false" ht="28.35" hidden="false" customHeight="false" outlineLevel="0" collapsed="false">
      <c r="A11" s="3" t="s">
        <v>833</v>
      </c>
      <c r="B11" s="3" t="s">
        <v>834</v>
      </c>
      <c r="C11" s="3" t="n">
        <v>5</v>
      </c>
      <c r="D11" s="18" t="n">
        <v>0</v>
      </c>
      <c r="E11" s="19" t="n">
        <f aca="false">C11*D11</f>
        <v>0</v>
      </c>
      <c r="F11" s="19" t="n">
        <f aca="false">ABS(C11)*5</f>
        <v>25</v>
      </c>
      <c r="G11" s="3" t="s">
        <v>835</v>
      </c>
      <c r="H11" s="3"/>
    </row>
    <row r="12" customFormat="false" ht="28.35" hidden="false" customHeight="false" outlineLevel="0" collapsed="false">
      <c r="A12" s="3" t="s">
        <v>836</v>
      </c>
      <c r="B12" s="3" t="s">
        <v>837</v>
      </c>
      <c r="C12" s="3" t="n">
        <v>-3</v>
      </c>
      <c r="D12" s="18" t="n">
        <v>0</v>
      </c>
      <c r="E12" s="19" t="n">
        <f aca="false">C12*D12</f>
        <v>-0</v>
      </c>
      <c r="F12" s="19" t="n">
        <f aca="false">ABS(C12)*5</f>
        <v>15</v>
      </c>
      <c r="G12" s="3" t="s">
        <v>838</v>
      </c>
      <c r="H12" s="3"/>
    </row>
    <row r="14" customFormat="false" ht="28.35" hidden="false" customHeight="false" outlineLevel="0" collapsed="false">
      <c r="A14" s="20" t="s">
        <v>839</v>
      </c>
      <c r="B14" s="21" t="n">
        <f aca="false">SUM(E5:E12)</f>
        <v>0</v>
      </c>
      <c r="D14" s="22" t="s">
        <v>840</v>
      </c>
      <c r="E14" s="22" t="s">
        <v>841</v>
      </c>
      <c r="F14" s="22" t="s">
        <v>842</v>
      </c>
      <c r="G14" s="22" t="s">
        <v>843</v>
      </c>
    </row>
    <row r="15" customFormat="false" ht="95.5" hidden="false" customHeight="false" outlineLevel="0" collapsed="false">
      <c r="A15" s="20" t="s">
        <v>844</v>
      </c>
      <c r="B15" s="21" t="n">
        <f aca="false">SUM(F5:F12)</f>
        <v>170</v>
      </c>
      <c r="D15" s="3" t="s">
        <v>845</v>
      </c>
      <c r="E15" s="3" t="s">
        <v>846</v>
      </c>
      <c r="F15" s="3" t="s">
        <v>847</v>
      </c>
      <c r="G15" s="3" t="s">
        <v>848</v>
      </c>
    </row>
    <row r="16" customFormat="false" ht="68.65" hidden="false" customHeight="false" outlineLevel="0" collapsed="false">
      <c r="A16" s="20" t="s">
        <v>849</v>
      </c>
      <c r="B16" s="23" t="n">
        <f aca="false">IF(B15=0,0,(B14+B15)/(2*B15))</f>
        <v>0.5</v>
      </c>
      <c r="D16" s="3" t="s">
        <v>850</v>
      </c>
      <c r="E16" s="3" t="s">
        <v>851</v>
      </c>
      <c r="F16" s="3" t="s">
        <v>852</v>
      </c>
      <c r="G16" s="3" t="s">
        <v>853</v>
      </c>
    </row>
    <row r="17" customFormat="false" ht="82.05" hidden="false" customHeight="false" outlineLevel="0" collapsed="false">
      <c r="A17" s="20" t="s">
        <v>854</v>
      </c>
      <c r="B17" s="24" t="str">
        <f aca="false">IF(B16&lt;0.25,"Low",IF(B16&lt;0.45,"Guarded / Monitor",IF(B16&lt;0.65,"Moderate",IF(B16&lt;0.8,"Elevated","High"))))</f>
        <v>Moderate</v>
      </c>
      <c r="D17" s="3" t="s">
        <v>855</v>
      </c>
      <c r="E17" s="3" t="s">
        <v>793</v>
      </c>
      <c r="F17" s="3" t="s">
        <v>856</v>
      </c>
      <c r="G17" s="3" t="s">
        <v>857</v>
      </c>
    </row>
    <row r="18" customFormat="false" ht="82.05" hidden="false" customHeight="false" outlineLevel="0" collapsed="false">
      <c r="A18" s="20" t="s">
        <v>858</v>
      </c>
      <c r="B18" s="24" t="str">
        <f aca="false">IF(B17="Low","Educate and monitor",IF(B17="Guarded / Monitor","Clean residue / control humidity / recheck",IF(B17="Moderate","Recommend targeted inspection",IF(B17="Elevated","Prompt inspection and moisture correction","Professional inspection and remediation-oriented language"))))</f>
        <v>Recommend targeted inspection</v>
      </c>
      <c r="D18" s="3" t="s">
        <v>859</v>
      </c>
      <c r="E18" s="3" t="s">
        <v>778</v>
      </c>
      <c r="F18" s="3" t="s">
        <v>860</v>
      </c>
      <c r="G18" s="3" t="s">
        <v>861</v>
      </c>
    </row>
    <row r="19" customFormat="false" ht="15" hidden="false" customHeight="false" outlineLevel="0" collapsed="false">
      <c r="A19" s="20" t="s">
        <v>862</v>
      </c>
      <c r="B19" s="21" t="str">
        <f aca="false">IF(B17="Low","Reassuring",IF(B17="Guarded / Monitor","Cautious",IF(B17="Moderate","Balanced concern",IF(B17="Elevated","Direct concern","Strong concern"))))</f>
        <v>Balanced concern</v>
      </c>
    </row>
    <row r="20" customFormat="false" ht="15" hidden="false" customHeight="false" outlineLevel="0" collapsed="false">
      <c r="A20" s="20" t="s">
        <v>863</v>
      </c>
      <c r="B20" s="21" t="str">
        <f aca="false">IF(B17="Low","Background / no strong visual evidence",IF(B17="Guarded / Monitor","Monitor for recurrence",IF(B17="Moderate","Possible active growth",IF(B17="Elevated","Likely active growth","High suspicion for active amplification"))))</f>
        <v>Possible active growth</v>
      </c>
    </row>
  </sheetData>
  <mergeCells count="2">
    <mergeCell ref="A1:H1"/>
    <mergeCell ref="A2:H2"/>
  </mergeCells>
  <conditionalFormatting sqref="B17">
    <cfRule type="cellIs" priority="2" operator="equal" aboveAverage="0" equalAverage="0" bottom="0" percent="0" rank="0" text="" dxfId="8">
      <formula>"Low"</formula>
    </cfRule>
    <cfRule type="cellIs" priority="3" operator="equal" aboveAverage="0" equalAverage="0" bottom="0" percent="0" rank="0" text="" dxfId="9">
      <formula>"Guarded / Monitor"</formula>
    </cfRule>
    <cfRule type="cellIs" priority="4" operator="equal" aboveAverage="0" equalAverage="0" bottom="0" percent="0" rank="0" text="" dxfId="10">
      <formula>"Moderate"</formula>
    </cfRule>
    <cfRule type="cellIs" priority="5" operator="equal" aboveAverage="0" equalAverage="0" bottom="0" percent="0" rank="0" text="" dxfId="11">
      <formula>"Elevated"</formula>
    </cfRule>
    <cfRule type="cellIs" priority="6" operator="equal" aboveAverage="0" equalAverage="0" bottom="0" percent="0" rank="0" text="" dxfId="12">
      <formula>"High"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4" t="s">
        <v>864</v>
      </c>
      <c r="B1" s="14"/>
      <c r="C1" s="14"/>
      <c r="D1" s="14"/>
      <c r="E1" s="14"/>
      <c r="F1" s="14"/>
    </row>
    <row r="2" customFormat="false" ht="21.75" hidden="false" customHeight="true" outlineLevel="0" collapsed="false">
      <c r="A2" s="15" t="s">
        <v>865</v>
      </c>
      <c r="B2" s="15"/>
      <c r="C2" s="15"/>
      <c r="D2" s="15"/>
      <c r="E2" s="15"/>
      <c r="F2" s="15"/>
    </row>
    <row r="4" customFormat="false" ht="21.75" hidden="false" customHeight="true" outlineLevel="0" collapsed="false">
      <c r="A4" s="16" t="s">
        <v>866</v>
      </c>
      <c r="B4" s="16" t="s">
        <v>867</v>
      </c>
      <c r="C4" s="16" t="s">
        <v>868</v>
      </c>
      <c r="D4" s="16" t="s">
        <v>869</v>
      </c>
      <c r="E4" s="16" t="s">
        <v>870</v>
      </c>
      <c r="F4" s="16" t="s">
        <v>871</v>
      </c>
    </row>
    <row r="5" customFormat="false" ht="41.75" hidden="false" customHeight="false" outlineLevel="0" collapsed="false">
      <c r="A5" s="3" t="s">
        <v>872</v>
      </c>
      <c r="B5" s="3" t="s">
        <v>873</v>
      </c>
      <c r="C5" s="3" t="s">
        <v>874</v>
      </c>
      <c r="D5" s="3" t="s">
        <v>875</v>
      </c>
      <c r="E5" s="3" t="s">
        <v>876</v>
      </c>
      <c r="F5" s="3" t="s">
        <v>877</v>
      </c>
    </row>
    <row r="6" customFormat="false" ht="41.75" hidden="false" customHeight="false" outlineLevel="0" collapsed="false">
      <c r="A6" s="3" t="s">
        <v>872</v>
      </c>
      <c r="B6" s="3" t="s">
        <v>878</v>
      </c>
      <c r="C6" s="3" t="s">
        <v>879</v>
      </c>
      <c r="D6" s="3" t="s">
        <v>880</v>
      </c>
      <c r="E6" s="3" t="s">
        <v>881</v>
      </c>
      <c r="F6" s="3" t="s">
        <v>882</v>
      </c>
    </row>
    <row r="7" customFormat="false" ht="41.75" hidden="false" customHeight="false" outlineLevel="0" collapsed="false">
      <c r="A7" s="3" t="s">
        <v>883</v>
      </c>
      <c r="B7" s="3" t="s">
        <v>873</v>
      </c>
      <c r="C7" s="3" t="s">
        <v>884</v>
      </c>
      <c r="D7" s="3" t="s">
        <v>885</v>
      </c>
      <c r="E7" s="3" t="s">
        <v>886</v>
      </c>
      <c r="F7" s="3" t="s">
        <v>887</v>
      </c>
    </row>
    <row r="8" customFormat="false" ht="41.75" hidden="false" customHeight="false" outlineLevel="0" collapsed="false">
      <c r="A8" s="3" t="s">
        <v>883</v>
      </c>
      <c r="B8" s="3" t="s">
        <v>878</v>
      </c>
      <c r="C8" s="3" t="s">
        <v>888</v>
      </c>
      <c r="D8" s="3" t="s">
        <v>889</v>
      </c>
      <c r="E8" s="3" t="s">
        <v>890</v>
      </c>
      <c r="F8" s="3" t="s">
        <v>891</v>
      </c>
    </row>
    <row r="9" customFormat="false" ht="41.75" hidden="false" customHeight="false" outlineLevel="0" collapsed="false">
      <c r="A9" s="3" t="s">
        <v>892</v>
      </c>
      <c r="B9" s="3" t="s">
        <v>873</v>
      </c>
      <c r="C9" s="3" t="s">
        <v>893</v>
      </c>
      <c r="D9" s="3" t="s">
        <v>894</v>
      </c>
      <c r="E9" s="3" t="s">
        <v>895</v>
      </c>
      <c r="F9" s="3" t="s">
        <v>896</v>
      </c>
    </row>
    <row r="10" customFormat="false" ht="41.75" hidden="false" customHeight="false" outlineLevel="0" collapsed="false">
      <c r="A10" s="3" t="s">
        <v>892</v>
      </c>
      <c r="B10" s="3" t="s">
        <v>878</v>
      </c>
      <c r="C10" s="3" t="s">
        <v>897</v>
      </c>
      <c r="D10" s="3" t="s">
        <v>898</v>
      </c>
      <c r="E10" s="3" t="s">
        <v>899</v>
      </c>
      <c r="F10" s="3" t="s">
        <v>900</v>
      </c>
    </row>
    <row r="11" customFormat="false" ht="41.75" hidden="false" customHeight="false" outlineLevel="0" collapsed="false">
      <c r="A11" s="3" t="s">
        <v>901</v>
      </c>
      <c r="B11" s="3" t="s">
        <v>873</v>
      </c>
      <c r="C11" s="3" t="s">
        <v>902</v>
      </c>
      <c r="D11" s="3" t="s">
        <v>903</v>
      </c>
      <c r="E11" s="3" t="s">
        <v>904</v>
      </c>
      <c r="F11" s="3" t="s">
        <v>905</v>
      </c>
    </row>
    <row r="12" customFormat="false" ht="41.75" hidden="false" customHeight="false" outlineLevel="0" collapsed="false">
      <c r="A12" s="3" t="s">
        <v>901</v>
      </c>
      <c r="B12" s="3" t="s">
        <v>878</v>
      </c>
      <c r="C12" s="3" t="s">
        <v>906</v>
      </c>
      <c r="D12" s="3" t="s">
        <v>907</v>
      </c>
      <c r="E12" s="3" t="s">
        <v>908</v>
      </c>
      <c r="F12" s="3" t="s">
        <v>909</v>
      </c>
    </row>
    <row r="13" customFormat="false" ht="41.75" hidden="false" customHeight="false" outlineLevel="0" collapsed="false">
      <c r="A13" s="3" t="s">
        <v>910</v>
      </c>
      <c r="B13" s="3" t="s">
        <v>873</v>
      </c>
      <c r="C13" s="3" t="s">
        <v>911</v>
      </c>
      <c r="D13" s="3" t="s">
        <v>912</v>
      </c>
      <c r="E13" s="3" t="s">
        <v>913</v>
      </c>
      <c r="F13" s="3" t="s">
        <v>914</v>
      </c>
    </row>
    <row r="14" customFormat="false" ht="41.75" hidden="false" customHeight="false" outlineLevel="0" collapsed="false">
      <c r="A14" s="3" t="s">
        <v>910</v>
      </c>
      <c r="B14" s="3" t="s">
        <v>878</v>
      </c>
      <c r="C14" s="3" t="s">
        <v>915</v>
      </c>
      <c r="D14" s="3" t="s">
        <v>916</v>
      </c>
      <c r="E14" s="3" t="s">
        <v>917</v>
      </c>
      <c r="F14" s="3" t="s">
        <v>918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21.75" hidden="false" customHeight="true" outlineLevel="0" collapsed="false">
      <c r="A1" s="14" t="s">
        <v>919</v>
      </c>
      <c r="B1" s="14"/>
      <c r="C1" s="14"/>
      <c r="D1" s="14"/>
      <c r="E1" s="14"/>
      <c r="F1" s="14"/>
      <c r="G1" s="14"/>
      <c r="H1" s="14"/>
    </row>
    <row r="2" customFormat="false" ht="21.75" hidden="false" customHeight="true" outlineLevel="0" collapsed="false">
      <c r="A2" s="15" t="s">
        <v>920</v>
      </c>
      <c r="B2" s="15"/>
      <c r="C2" s="15"/>
      <c r="D2" s="15"/>
      <c r="E2" s="15"/>
      <c r="F2" s="15"/>
      <c r="G2" s="15"/>
      <c r="H2" s="15"/>
    </row>
    <row r="4" customFormat="false" ht="21.75" hidden="false" customHeight="true" outlineLevel="0" collapsed="false">
      <c r="A4" s="16" t="s">
        <v>921</v>
      </c>
      <c r="B4" s="16" t="s">
        <v>922</v>
      </c>
      <c r="C4" s="16" t="s">
        <v>923</v>
      </c>
      <c r="D4" s="16" t="s">
        <v>924</v>
      </c>
      <c r="E4" s="16" t="s">
        <v>925</v>
      </c>
      <c r="F4" s="16" t="s">
        <v>926</v>
      </c>
      <c r="G4" s="16" t="s">
        <v>927</v>
      </c>
      <c r="H4" s="16" t="s">
        <v>928</v>
      </c>
    </row>
    <row r="5" customFormat="false" ht="41.75" hidden="false" customHeight="false" outlineLevel="0" collapsed="false">
      <c r="A5" s="3" t="s">
        <v>929</v>
      </c>
      <c r="B5" s="3" t="s">
        <v>930</v>
      </c>
      <c r="C5" s="3" t="s">
        <v>931</v>
      </c>
      <c r="D5" s="3" t="s">
        <v>932</v>
      </c>
      <c r="E5" s="3" t="s">
        <v>933</v>
      </c>
      <c r="F5" s="3" t="s">
        <v>668</v>
      </c>
      <c r="G5" s="3" t="s">
        <v>934</v>
      </c>
      <c r="H5" s="3" t="s">
        <v>935</v>
      </c>
    </row>
    <row r="6" customFormat="false" ht="41.75" hidden="false" customHeight="false" outlineLevel="0" collapsed="false">
      <c r="A6" s="3" t="s">
        <v>936</v>
      </c>
      <c r="B6" s="3" t="s">
        <v>937</v>
      </c>
      <c r="C6" s="3" t="s">
        <v>938</v>
      </c>
      <c r="D6" s="3" t="s">
        <v>939</v>
      </c>
      <c r="E6" s="3" t="s">
        <v>940</v>
      </c>
      <c r="F6" s="3" t="s">
        <v>941</v>
      </c>
      <c r="G6" s="3" t="s">
        <v>942</v>
      </c>
      <c r="H6" s="3" t="s">
        <v>943</v>
      </c>
    </row>
    <row r="7" customFormat="false" ht="41.75" hidden="false" customHeight="false" outlineLevel="0" collapsed="false">
      <c r="A7" s="3" t="s">
        <v>944</v>
      </c>
      <c r="B7" s="3" t="s">
        <v>945</v>
      </c>
      <c r="C7" s="3" t="s">
        <v>946</v>
      </c>
      <c r="D7" s="3" t="s">
        <v>947</v>
      </c>
      <c r="E7" s="3" t="s">
        <v>948</v>
      </c>
      <c r="F7" s="3" t="s">
        <v>941</v>
      </c>
      <c r="G7" s="3" t="s">
        <v>949</v>
      </c>
      <c r="H7" s="3" t="s">
        <v>950</v>
      </c>
    </row>
    <row r="8" customFormat="false" ht="28.35" hidden="false" customHeight="false" outlineLevel="0" collapsed="false">
      <c r="A8" s="3" t="s">
        <v>951</v>
      </c>
      <c r="B8" s="3" t="s">
        <v>952</v>
      </c>
      <c r="C8" s="3" t="s">
        <v>953</v>
      </c>
      <c r="D8" s="3" t="s">
        <v>954</v>
      </c>
      <c r="E8" s="3" t="s">
        <v>955</v>
      </c>
      <c r="F8" s="3" t="s">
        <v>786</v>
      </c>
      <c r="G8" s="3" t="s">
        <v>956</v>
      </c>
      <c r="H8" s="3" t="s">
        <v>957</v>
      </c>
    </row>
    <row r="9" customFormat="false" ht="41.75" hidden="false" customHeight="false" outlineLevel="0" collapsed="false">
      <c r="A9" s="3" t="s">
        <v>958</v>
      </c>
      <c r="B9" s="3" t="s">
        <v>959</v>
      </c>
      <c r="C9" s="3" t="s">
        <v>960</v>
      </c>
      <c r="D9" s="3" t="s">
        <v>961</v>
      </c>
      <c r="E9" s="3" t="s">
        <v>962</v>
      </c>
      <c r="F9" s="3" t="s">
        <v>668</v>
      </c>
      <c r="G9" s="3" t="s">
        <v>963</v>
      </c>
      <c r="H9" s="3" t="s">
        <v>964</v>
      </c>
    </row>
    <row r="10" customFormat="false" ht="41.75" hidden="false" customHeight="false" outlineLevel="0" collapsed="false">
      <c r="A10" s="3" t="s">
        <v>965</v>
      </c>
      <c r="B10" s="3" t="s">
        <v>966</v>
      </c>
      <c r="C10" s="3" t="s">
        <v>967</v>
      </c>
      <c r="D10" s="3" t="s">
        <v>968</v>
      </c>
      <c r="E10" s="3" t="s">
        <v>969</v>
      </c>
      <c r="F10" s="3" t="s">
        <v>803</v>
      </c>
      <c r="G10" s="3" t="s">
        <v>970</v>
      </c>
      <c r="H10" s="3" t="s">
        <v>971</v>
      </c>
    </row>
    <row r="11" customFormat="false" ht="41.75" hidden="false" customHeight="false" outlineLevel="0" collapsed="false">
      <c r="A11" s="3" t="s">
        <v>972</v>
      </c>
      <c r="B11" s="3" t="s">
        <v>973</v>
      </c>
      <c r="C11" s="3" t="s">
        <v>974</v>
      </c>
      <c r="D11" s="3" t="s">
        <v>975</v>
      </c>
      <c r="E11" s="3" t="s">
        <v>976</v>
      </c>
      <c r="F11" s="3" t="s">
        <v>786</v>
      </c>
      <c r="G11" s="3" t="s">
        <v>977</v>
      </c>
      <c r="H11" s="3" t="s">
        <v>978</v>
      </c>
    </row>
    <row r="12" customFormat="false" ht="28.35" hidden="false" customHeight="false" outlineLevel="0" collapsed="false">
      <c r="A12" s="3" t="s">
        <v>979</v>
      </c>
      <c r="B12" s="3" t="s">
        <v>980</v>
      </c>
      <c r="C12" s="3" t="s">
        <v>981</v>
      </c>
      <c r="D12" s="3" t="s">
        <v>982</v>
      </c>
      <c r="E12" s="3" t="s">
        <v>983</v>
      </c>
      <c r="F12" s="3" t="s">
        <v>984</v>
      </c>
      <c r="G12" s="3" t="s">
        <v>985</v>
      </c>
      <c r="H12" s="3" t="s">
        <v>986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5" min="4" style="0" width="22"/>
    <col collapsed="false" customWidth="true" hidden="false" outlineLevel="0" max="6" min="6" style="0" width="24"/>
    <col collapsed="false" customWidth="true" hidden="false" outlineLevel="0" max="7" min="7" style="0" width="26"/>
    <col collapsed="false" customWidth="true" hidden="false" outlineLevel="0" max="8" min="8" style="0" width="24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14" t="s">
        <v>987</v>
      </c>
      <c r="B1" s="14"/>
      <c r="C1" s="14"/>
      <c r="D1" s="14"/>
      <c r="E1" s="14"/>
      <c r="F1" s="14"/>
      <c r="G1" s="14"/>
      <c r="H1" s="14"/>
      <c r="I1" s="14"/>
    </row>
    <row r="2" customFormat="false" ht="21.75" hidden="false" customHeight="true" outlineLevel="0" collapsed="false">
      <c r="A2" s="15" t="s">
        <v>988</v>
      </c>
      <c r="B2" s="15"/>
      <c r="C2" s="15"/>
      <c r="D2" s="15"/>
      <c r="E2" s="15"/>
      <c r="F2" s="15"/>
      <c r="G2" s="15"/>
      <c r="H2" s="15"/>
      <c r="I2" s="15"/>
    </row>
    <row r="4" customFormat="false" ht="21.75" hidden="false" customHeight="true" outlineLevel="0" collapsed="false">
      <c r="A4" s="16" t="s">
        <v>989</v>
      </c>
      <c r="B4" s="16" t="s">
        <v>990</v>
      </c>
      <c r="C4" s="16" t="s">
        <v>991</v>
      </c>
      <c r="D4" s="16" t="s">
        <v>992</v>
      </c>
      <c r="E4" s="16" t="s">
        <v>993</v>
      </c>
      <c r="F4" s="16" t="s">
        <v>994</v>
      </c>
      <c r="G4" s="16" t="s">
        <v>995</v>
      </c>
      <c r="H4" s="16" t="s">
        <v>996</v>
      </c>
      <c r="I4" s="16" t="s">
        <v>997</v>
      </c>
    </row>
    <row r="5" customFormat="false" ht="55.2" hidden="false" customHeight="false" outlineLevel="0" collapsed="false">
      <c r="A5" s="3" t="s">
        <v>998</v>
      </c>
      <c r="B5" s="3" t="s">
        <v>999</v>
      </c>
      <c r="C5" s="3" t="s">
        <v>1000</v>
      </c>
      <c r="D5" s="3" t="s">
        <v>1001</v>
      </c>
      <c r="E5" s="3" t="s">
        <v>1002</v>
      </c>
      <c r="F5" s="3" t="s">
        <v>1003</v>
      </c>
      <c r="G5" s="3" t="s">
        <v>1004</v>
      </c>
      <c r="H5" s="3" t="s">
        <v>1005</v>
      </c>
      <c r="I5" s="3" t="s">
        <v>786</v>
      </c>
    </row>
    <row r="6" customFormat="false" ht="55.2" hidden="false" customHeight="false" outlineLevel="0" collapsed="false">
      <c r="A6" s="3" t="s">
        <v>1006</v>
      </c>
      <c r="B6" s="3" t="s">
        <v>1007</v>
      </c>
      <c r="C6" s="3" t="s">
        <v>1008</v>
      </c>
      <c r="D6" s="3" t="s">
        <v>1009</v>
      </c>
      <c r="E6" s="3" t="s">
        <v>1010</v>
      </c>
      <c r="F6" s="3" t="s">
        <v>1011</v>
      </c>
      <c r="G6" s="3" t="s">
        <v>1012</v>
      </c>
      <c r="H6" s="3" t="s">
        <v>1013</v>
      </c>
      <c r="I6" s="3" t="s">
        <v>941</v>
      </c>
    </row>
    <row r="7" customFormat="false" ht="55.2" hidden="false" customHeight="false" outlineLevel="0" collapsed="false">
      <c r="A7" s="3" t="s">
        <v>1014</v>
      </c>
      <c r="B7" s="3" t="s">
        <v>1015</v>
      </c>
      <c r="C7" s="3" t="s">
        <v>1016</v>
      </c>
      <c r="D7" s="3" t="s">
        <v>1017</v>
      </c>
      <c r="E7" s="3" t="s">
        <v>1018</v>
      </c>
      <c r="F7" s="3" t="s">
        <v>1019</v>
      </c>
      <c r="G7" s="3" t="s">
        <v>1020</v>
      </c>
      <c r="H7" s="3" t="s">
        <v>1021</v>
      </c>
      <c r="I7" s="3" t="s">
        <v>941</v>
      </c>
    </row>
    <row r="8" customFormat="false" ht="55.2" hidden="false" customHeight="false" outlineLevel="0" collapsed="false">
      <c r="A8" s="3" t="s">
        <v>1022</v>
      </c>
      <c r="B8" s="3" t="s">
        <v>1023</v>
      </c>
      <c r="C8" s="3" t="s">
        <v>1024</v>
      </c>
      <c r="D8" s="3" t="s">
        <v>1025</v>
      </c>
      <c r="E8" s="3" t="s">
        <v>1026</v>
      </c>
      <c r="F8" s="3" t="s">
        <v>1027</v>
      </c>
      <c r="G8" s="3" t="s">
        <v>1028</v>
      </c>
      <c r="H8" s="3" t="s">
        <v>1029</v>
      </c>
      <c r="I8" s="3" t="s">
        <v>786</v>
      </c>
    </row>
    <row r="9" customFormat="false" ht="55.2" hidden="false" customHeight="false" outlineLevel="0" collapsed="false">
      <c r="A9" s="3" t="s">
        <v>1030</v>
      </c>
      <c r="B9" s="3" t="s">
        <v>1031</v>
      </c>
      <c r="C9" s="3" t="s">
        <v>1032</v>
      </c>
      <c r="D9" s="3" t="s">
        <v>1033</v>
      </c>
      <c r="E9" s="3" t="s">
        <v>1034</v>
      </c>
      <c r="F9" s="3" t="s">
        <v>1035</v>
      </c>
      <c r="G9" s="3" t="s">
        <v>1036</v>
      </c>
      <c r="H9" s="3" t="s">
        <v>1037</v>
      </c>
      <c r="I9" s="3" t="s">
        <v>941</v>
      </c>
    </row>
    <row r="10" customFormat="false" ht="55.2" hidden="false" customHeight="false" outlineLevel="0" collapsed="false">
      <c r="A10" s="3" t="s">
        <v>1038</v>
      </c>
      <c r="B10" s="3" t="s">
        <v>1039</v>
      </c>
      <c r="C10" s="3" t="s">
        <v>1040</v>
      </c>
      <c r="D10" s="3" t="s">
        <v>1041</v>
      </c>
      <c r="E10" s="3" t="s">
        <v>1042</v>
      </c>
      <c r="F10" s="3" t="s">
        <v>1043</v>
      </c>
      <c r="G10" s="3" t="s">
        <v>1044</v>
      </c>
      <c r="H10" s="3" t="s">
        <v>1045</v>
      </c>
      <c r="I10" s="3" t="s">
        <v>668</v>
      </c>
    </row>
    <row r="11" customFormat="false" ht="55.2" hidden="false" customHeight="false" outlineLevel="0" collapsed="false">
      <c r="A11" s="3" t="s">
        <v>1046</v>
      </c>
      <c r="B11" s="3" t="s">
        <v>1047</v>
      </c>
      <c r="C11" s="3" t="s">
        <v>1048</v>
      </c>
      <c r="D11" s="3" t="s">
        <v>1049</v>
      </c>
      <c r="E11" s="3" t="s">
        <v>1050</v>
      </c>
      <c r="F11" s="3" t="s">
        <v>1051</v>
      </c>
      <c r="G11" s="3" t="s">
        <v>1052</v>
      </c>
      <c r="H11" s="3" t="s">
        <v>1053</v>
      </c>
      <c r="I11" s="3" t="s">
        <v>668</v>
      </c>
    </row>
    <row r="12" customFormat="false" ht="55.2" hidden="false" customHeight="false" outlineLevel="0" collapsed="false">
      <c r="A12" s="3" t="s">
        <v>1054</v>
      </c>
      <c r="B12" s="3" t="s">
        <v>1055</v>
      </c>
      <c r="C12" s="3" t="s">
        <v>1056</v>
      </c>
      <c r="D12" s="3" t="s">
        <v>1057</v>
      </c>
      <c r="E12" s="3" t="s">
        <v>1058</v>
      </c>
      <c r="F12" s="3" t="s">
        <v>1059</v>
      </c>
      <c r="G12" s="3" t="s">
        <v>1060</v>
      </c>
      <c r="H12" s="3" t="s">
        <v>1061</v>
      </c>
      <c r="I12" s="3" t="s">
        <v>668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8" min="7" style="0" width="28"/>
    <col collapsed="false" customWidth="true" hidden="false" outlineLevel="0" max="9" min="9" style="0" width="24"/>
  </cols>
  <sheetData>
    <row r="1" customFormat="false" ht="21.75" hidden="false" customHeight="true" outlineLevel="0" collapsed="false">
      <c r="A1" s="14" t="s">
        <v>1062</v>
      </c>
      <c r="B1" s="14"/>
      <c r="C1" s="14"/>
      <c r="D1" s="14"/>
      <c r="E1" s="14"/>
      <c r="F1" s="14"/>
      <c r="G1" s="14"/>
      <c r="H1" s="14"/>
      <c r="I1" s="14"/>
    </row>
    <row r="2" customFormat="false" ht="21.75" hidden="false" customHeight="true" outlineLevel="0" collapsed="false">
      <c r="A2" s="15" t="s">
        <v>1063</v>
      </c>
      <c r="B2" s="15"/>
      <c r="C2" s="15"/>
      <c r="D2" s="15"/>
      <c r="E2" s="15"/>
      <c r="F2" s="15"/>
      <c r="G2" s="15"/>
      <c r="H2" s="15"/>
      <c r="I2" s="15"/>
    </row>
    <row r="4" customFormat="false" ht="21.75" hidden="false" customHeight="true" outlineLevel="0" collapsed="false">
      <c r="A4" s="16" t="s">
        <v>840</v>
      </c>
      <c r="B4" s="16" t="s">
        <v>1064</v>
      </c>
      <c r="C4" s="16" t="s">
        <v>1065</v>
      </c>
      <c r="D4" s="16" t="s">
        <v>1066</v>
      </c>
      <c r="E4" s="16" t="s">
        <v>1067</v>
      </c>
      <c r="F4" s="16" t="s">
        <v>1068</v>
      </c>
      <c r="G4" s="16" t="s">
        <v>1069</v>
      </c>
      <c r="H4" s="16" t="s">
        <v>1070</v>
      </c>
      <c r="I4" s="16" t="s">
        <v>1071</v>
      </c>
    </row>
    <row r="5" customFormat="false" ht="41.75" hidden="false" customHeight="false" outlineLevel="0" collapsed="false">
      <c r="A5" s="3" t="s">
        <v>1072</v>
      </c>
      <c r="B5" s="3" t="s">
        <v>778</v>
      </c>
      <c r="C5" s="3" t="s">
        <v>1073</v>
      </c>
      <c r="D5" s="3" t="s">
        <v>1074</v>
      </c>
      <c r="E5" s="3" t="s">
        <v>1075</v>
      </c>
      <c r="F5" s="3" t="s">
        <v>1076</v>
      </c>
      <c r="G5" s="3" t="s">
        <v>1077</v>
      </c>
      <c r="H5" s="3" t="s">
        <v>1078</v>
      </c>
      <c r="I5" s="3" t="s">
        <v>1079</v>
      </c>
    </row>
    <row r="6" customFormat="false" ht="55.2" hidden="false" customHeight="false" outlineLevel="0" collapsed="false">
      <c r="A6" s="3" t="s">
        <v>1080</v>
      </c>
      <c r="B6" s="3" t="s">
        <v>786</v>
      </c>
      <c r="C6" s="3" t="s">
        <v>1081</v>
      </c>
      <c r="D6" s="3" t="s">
        <v>1082</v>
      </c>
      <c r="E6" s="3" t="s">
        <v>984</v>
      </c>
      <c r="F6" s="3" t="s">
        <v>1083</v>
      </c>
      <c r="G6" s="3" t="s">
        <v>1084</v>
      </c>
      <c r="H6" s="3" t="s">
        <v>1085</v>
      </c>
      <c r="I6" s="3" t="s">
        <v>1086</v>
      </c>
    </row>
    <row r="7" customFormat="false" ht="41.75" hidden="false" customHeight="false" outlineLevel="0" collapsed="false">
      <c r="A7" s="3" t="s">
        <v>1087</v>
      </c>
      <c r="B7" s="3" t="s">
        <v>941</v>
      </c>
      <c r="C7" s="3" t="s">
        <v>981</v>
      </c>
      <c r="D7" s="3" t="s">
        <v>1088</v>
      </c>
      <c r="E7" s="3" t="s">
        <v>1089</v>
      </c>
      <c r="F7" s="3" t="s">
        <v>1090</v>
      </c>
      <c r="G7" s="3" t="s">
        <v>1091</v>
      </c>
      <c r="H7" s="3" t="s">
        <v>1092</v>
      </c>
      <c r="I7" s="3" t="s">
        <v>1093</v>
      </c>
    </row>
    <row r="8" customFormat="false" ht="41.75" hidden="false" customHeight="false" outlineLevel="0" collapsed="false">
      <c r="A8" s="3" t="s">
        <v>1094</v>
      </c>
      <c r="B8" s="3" t="s">
        <v>668</v>
      </c>
      <c r="C8" s="3" t="s">
        <v>1095</v>
      </c>
      <c r="D8" s="3" t="s">
        <v>1096</v>
      </c>
      <c r="E8" s="3" t="s">
        <v>1097</v>
      </c>
      <c r="F8" s="3" t="s">
        <v>1098</v>
      </c>
      <c r="G8" s="3" t="s">
        <v>1099</v>
      </c>
      <c r="H8" s="3" t="s">
        <v>1100</v>
      </c>
      <c r="I8" s="3" t="s">
        <v>1101</v>
      </c>
    </row>
    <row r="9" customFormat="false" ht="41.75" hidden="false" customHeight="false" outlineLevel="0" collapsed="false">
      <c r="A9" s="3" t="s">
        <v>1102</v>
      </c>
      <c r="B9" s="3" t="s">
        <v>1103</v>
      </c>
      <c r="C9" s="3" t="s">
        <v>981</v>
      </c>
      <c r="D9" s="3" t="s">
        <v>1104</v>
      </c>
      <c r="E9" s="3" t="s">
        <v>1075</v>
      </c>
      <c r="F9" s="3" t="s">
        <v>1105</v>
      </c>
      <c r="G9" s="3" t="s">
        <v>1106</v>
      </c>
      <c r="H9" s="3" t="s">
        <v>1107</v>
      </c>
      <c r="I9" s="3" t="s">
        <v>1108</v>
      </c>
    </row>
    <row r="10" customFormat="false" ht="41.75" hidden="false" customHeight="false" outlineLevel="0" collapsed="false">
      <c r="A10" s="3" t="s">
        <v>1109</v>
      </c>
      <c r="B10" s="3" t="s">
        <v>941</v>
      </c>
      <c r="C10" s="3" t="s">
        <v>1110</v>
      </c>
      <c r="D10" s="3" t="s">
        <v>1111</v>
      </c>
      <c r="E10" s="3" t="s">
        <v>1112</v>
      </c>
      <c r="F10" s="3" t="s">
        <v>1113</v>
      </c>
      <c r="G10" s="3" t="s">
        <v>1114</v>
      </c>
      <c r="H10" s="3" t="s">
        <v>1115</v>
      </c>
      <c r="I10" s="3" t="s">
        <v>1116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18"/>
  </cols>
  <sheetData>
    <row r="1" customFormat="false" ht="21.75" hidden="false" customHeight="true" outlineLevel="0" collapsed="false">
      <c r="A1" s="14" t="s">
        <v>1117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21.75" hidden="false" customHeight="true" outlineLevel="0" collapsed="false">
      <c r="A2" s="15" t="s">
        <v>1118</v>
      </c>
      <c r="B2" s="15"/>
      <c r="C2" s="15"/>
      <c r="D2" s="15"/>
      <c r="E2" s="15"/>
      <c r="F2" s="15"/>
      <c r="G2" s="15"/>
      <c r="H2" s="15"/>
      <c r="I2" s="15"/>
      <c r="J2" s="15"/>
    </row>
    <row r="4" customFormat="false" ht="21.75" hidden="false" customHeight="true" outlineLevel="0" collapsed="false">
      <c r="A4" s="16" t="s">
        <v>1119</v>
      </c>
      <c r="B4" s="16" t="s">
        <v>1120</v>
      </c>
      <c r="C4" s="16" t="s">
        <v>1121</v>
      </c>
      <c r="D4" s="16" t="s">
        <v>870</v>
      </c>
      <c r="E4" s="16" t="s">
        <v>1122</v>
      </c>
      <c r="F4" s="16" t="s">
        <v>1123</v>
      </c>
      <c r="G4" s="16" t="s">
        <v>1124</v>
      </c>
      <c r="H4" s="16" t="s">
        <v>1125</v>
      </c>
      <c r="I4" s="16" t="s">
        <v>1126</v>
      </c>
      <c r="J4" s="16" t="s">
        <v>1127</v>
      </c>
    </row>
    <row r="5" customFormat="false" ht="28.35" hidden="false" customHeight="false" outlineLevel="0" collapsed="false">
      <c r="A5" s="3" t="s">
        <v>1128</v>
      </c>
      <c r="B5" s="3" t="s">
        <v>1129</v>
      </c>
      <c r="C5" s="3" t="s">
        <v>1130</v>
      </c>
      <c r="D5" s="3" t="s">
        <v>1131</v>
      </c>
      <c r="E5" s="3" t="s">
        <v>1132</v>
      </c>
      <c r="F5" s="3" t="s">
        <v>1133</v>
      </c>
      <c r="G5" s="3" t="s">
        <v>1134</v>
      </c>
      <c r="H5" s="3" t="s">
        <v>668</v>
      </c>
      <c r="I5" s="3" t="s">
        <v>1135</v>
      </c>
      <c r="J5" s="3" t="s">
        <v>1136</v>
      </c>
    </row>
    <row r="6" customFormat="false" ht="41.75" hidden="false" customHeight="false" outlineLevel="0" collapsed="false">
      <c r="A6" s="3" t="s">
        <v>1137</v>
      </c>
      <c r="B6" s="3" t="s">
        <v>1138</v>
      </c>
      <c r="C6" s="3" t="s">
        <v>1139</v>
      </c>
      <c r="D6" s="3" t="s">
        <v>1140</v>
      </c>
      <c r="E6" s="3" t="s">
        <v>1141</v>
      </c>
      <c r="F6" s="3" t="s">
        <v>1142</v>
      </c>
      <c r="G6" s="3" t="s">
        <v>1134</v>
      </c>
      <c r="H6" s="3" t="s">
        <v>668</v>
      </c>
      <c r="I6" s="3" t="s">
        <v>1143</v>
      </c>
      <c r="J6" s="3" t="s">
        <v>1144</v>
      </c>
    </row>
    <row r="7" customFormat="false" ht="41.75" hidden="false" customHeight="false" outlineLevel="0" collapsed="false">
      <c r="A7" s="3" t="s">
        <v>1145</v>
      </c>
      <c r="B7" s="3" t="s">
        <v>1146</v>
      </c>
      <c r="C7" s="3" t="s">
        <v>1147</v>
      </c>
      <c r="D7" s="3" t="s">
        <v>1148</v>
      </c>
      <c r="E7" s="3" t="s">
        <v>1149</v>
      </c>
      <c r="F7" s="3" t="s">
        <v>1142</v>
      </c>
      <c r="G7" s="3" t="s">
        <v>1134</v>
      </c>
      <c r="H7" s="3" t="s">
        <v>668</v>
      </c>
      <c r="I7" s="3" t="s">
        <v>1150</v>
      </c>
      <c r="J7" s="3" t="s">
        <v>1144</v>
      </c>
    </row>
    <row r="8" customFormat="false" ht="28.35" hidden="false" customHeight="false" outlineLevel="0" collapsed="false">
      <c r="A8" s="3" t="s">
        <v>1151</v>
      </c>
      <c r="B8" s="3" t="s">
        <v>1152</v>
      </c>
      <c r="C8" s="3" t="s">
        <v>1153</v>
      </c>
      <c r="D8" s="3" t="s">
        <v>1154</v>
      </c>
      <c r="E8" s="3" t="s">
        <v>1155</v>
      </c>
      <c r="F8" s="3" t="s">
        <v>1156</v>
      </c>
      <c r="G8" s="3" t="s">
        <v>1134</v>
      </c>
      <c r="H8" s="3" t="s">
        <v>668</v>
      </c>
      <c r="I8" s="3" t="s">
        <v>1157</v>
      </c>
      <c r="J8" s="3" t="s">
        <v>1144</v>
      </c>
    </row>
    <row r="9" customFormat="false" ht="28.35" hidden="false" customHeight="false" outlineLevel="0" collapsed="false">
      <c r="A9" s="3" t="s">
        <v>1158</v>
      </c>
      <c r="B9" s="3" t="s">
        <v>1159</v>
      </c>
      <c r="C9" s="3" t="s">
        <v>1160</v>
      </c>
      <c r="D9" s="3" t="s">
        <v>1161</v>
      </c>
      <c r="E9" s="3" t="s">
        <v>186</v>
      </c>
      <c r="F9" s="3" t="s">
        <v>1142</v>
      </c>
      <c r="G9" s="3" t="s">
        <v>1134</v>
      </c>
      <c r="H9" s="3" t="s">
        <v>668</v>
      </c>
      <c r="I9" s="3" t="s">
        <v>1162</v>
      </c>
      <c r="J9" s="3" t="s">
        <v>1144</v>
      </c>
    </row>
    <row r="10" customFormat="false" ht="28.35" hidden="false" customHeight="false" outlineLevel="0" collapsed="false">
      <c r="A10" s="3" t="s">
        <v>1158</v>
      </c>
      <c r="B10" s="3" t="s">
        <v>1163</v>
      </c>
      <c r="C10" s="3" t="s">
        <v>1164</v>
      </c>
      <c r="D10" s="3" t="s">
        <v>1165</v>
      </c>
      <c r="E10" s="3" t="s">
        <v>219</v>
      </c>
      <c r="F10" s="3" t="s">
        <v>1142</v>
      </c>
      <c r="G10" s="3" t="s">
        <v>1134</v>
      </c>
      <c r="H10" s="3" t="s">
        <v>668</v>
      </c>
      <c r="I10" s="3" t="s">
        <v>1166</v>
      </c>
      <c r="J10" s="3" t="s">
        <v>1144</v>
      </c>
    </row>
    <row r="11" customFormat="false" ht="28.35" hidden="false" customHeight="false" outlineLevel="0" collapsed="false">
      <c r="A11" s="3" t="s">
        <v>1158</v>
      </c>
      <c r="B11" s="3" t="s">
        <v>1167</v>
      </c>
      <c r="C11" s="3" t="s">
        <v>1168</v>
      </c>
      <c r="D11" s="3" t="s">
        <v>1169</v>
      </c>
      <c r="E11" s="3" t="s">
        <v>1170</v>
      </c>
      <c r="F11" s="3" t="s">
        <v>1142</v>
      </c>
      <c r="G11" s="3" t="s">
        <v>1134</v>
      </c>
      <c r="H11" s="3" t="s">
        <v>1171</v>
      </c>
      <c r="I11" s="3" t="s">
        <v>1172</v>
      </c>
      <c r="J11" s="3" t="s">
        <v>1144</v>
      </c>
    </row>
    <row r="12" customFormat="false" ht="28.35" hidden="false" customHeight="false" outlineLevel="0" collapsed="false">
      <c r="A12" s="3" t="s">
        <v>1173</v>
      </c>
      <c r="B12" s="3" t="s">
        <v>1174</v>
      </c>
      <c r="C12" s="3" t="s">
        <v>1175</v>
      </c>
      <c r="D12" s="3" t="s">
        <v>1176</v>
      </c>
      <c r="E12" s="3" t="s">
        <v>1177</v>
      </c>
      <c r="F12" s="3" t="s">
        <v>1178</v>
      </c>
      <c r="G12" s="3" t="s">
        <v>1179</v>
      </c>
      <c r="H12" s="3" t="s">
        <v>1180</v>
      </c>
      <c r="I12" s="3" t="s">
        <v>1181</v>
      </c>
      <c r="J12" s="3" t="s">
        <v>1182</v>
      </c>
    </row>
    <row r="13" customFormat="false" ht="41.75" hidden="false" customHeight="false" outlineLevel="0" collapsed="false">
      <c r="A13" s="3" t="s">
        <v>1183</v>
      </c>
      <c r="B13" s="3" t="s">
        <v>1184</v>
      </c>
      <c r="C13" s="3" t="s">
        <v>1185</v>
      </c>
      <c r="D13" s="3" t="s">
        <v>1186</v>
      </c>
      <c r="E13" s="3" t="s">
        <v>1187</v>
      </c>
      <c r="F13" s="3" t="s">
        <v>1142</v>
      </c>
      <c r="G13" s="3" t="s">
        <v>1179</v>
      </c>
      <c r="H13" s="3" t="s">
        <v>668</v>
      </c>
      <c r="I13" s="3" t="s">
        <v>1188</v>
      </c>
      <c r="J13" s="3" t="s">
        <v>1189</v>
      </c>
    </row>
    <row r="14" customFormat="false" ht="28.35" hidden="false" customHeight="false" outlineLevel="0" collapsed="false">
      <c r="A14" s="3" t="s">
        <v>1190</v>
      </c>
      <c r="B14" s="3" t="s">
        <v>657</v>
      </c>
      <c r="C14" s="3" t="s">
        <v>1191</v>
      </c>
      <c r="D14" s="3" t="s">
        <v>1192</v>
      </c>
      <c r="E14" s="3" t="s">
        <v>34</v>
      </c>
      <c r="F14" s="3" t="s">
        <v>1178</v>
      </c>
      <c r="G14" s="3" t="s">
        <v>1179</v>
      </c>
      <c r="H14" s="3" t="s">
        <v>668</v>
      </c>
      <c r="I14" s="3" t="s">
        <v>1193</v>
      </c>
      <c r="J14" s="3" t="s">
        <v>1189</v>
      </c>
    </row>
    <row r="15" customFormat="false" ht="28.35" hidden="false" customHeight="false" outlineLevel="0" collapsed="false">
      <c r="A15" s="3" t="s">
        <v>1190</v>
      </c>
      <c r="B15" s="3" t="s">
        <v>1194</v>
      </c>
      <c r="C15" s="3" t="s">
        <v>1195</v>
      </c>
      <c r="D15" s="3" t="s">
        <v>1196</v>
      </c>
      <c r="E15" s="3" t="s">
        <v>1197</v>
      </c>
      <c r="F15" s="3" t="s">
        <v>1142</v>
      </c>
      <c r="G15" s="3" t="s">
        <v>1179</v>
      </c>
      <c r="H15" s="3" t="s">
        <v>668</v>
      </c>
      <c r="I15" s="3" t="s">
        <v>1198</v>
      </c>
      <c r="J15" s="3" t="s">
        <v>1189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7" min="5" style="0" width="14"/>
    <col collapsed="false" customWidth="true" hidden="false" outlineLevel="0" max="9" min="8" style="0" width="18"/>
    <col collapsed="false" customWidth="true" hidden="false" outlineLevel="0" max="10" min="10" style="0" width="14"/>
    <col collapsed="false" customWidth="true" hidden="false" outlineLevel="0" max="12" min="11" style="0" width="20"/>
  </cols>
  <sheetData>
    <row r="1" customFormat="false" ht="21.75" hidden="false" customHeight="true" outlineLevel="0" collapsed="false">
      <c r="A1" s="14" t="s">
        <v>1199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21.75" hidden="false" customHeight="true" outlineLevel="0" collapsed="false">
      <c r="A2" s="15" t="s">
        <v>1200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4" customFormat="false" ht="21.75" hidden="false" customHeight="true" outlineLevel="0" collapsed="false">
      <c r="A4" s="16" t="s">
        <v>1129</v>
      </c>
      <c r="B4" s="16" t="s">
        <v>1138</v>
      </c>
      <c r="C4" s="16" t="s">
        <v>1146</v>
      </c>
      <c r="D4" s="16" t="s">
        <v>1201</v>
      </c>
      <c r="E4" s="16" t="s">
        <v>1159</v>
      </c>
      <c r="F4" s="16" t="s">
        <v>1163</v>
      </c>
      <c r="G4" s="16" t="s">
        <v>1167</v>
      </c>
      <c r="H4" s="16" t="s">
        <v>1202</v>
      </c>
      <c r="I4" s="16" t="s">
        <v>1203</v>
      </c>
      <c r="J4" s="16" t="s">
        <v>1184</v>
      </c>
      <c r="K4" s="16" t="s">
        <v>1204</v>
      </c>
      <c r="L4" s="16" t="s">
        <v>1205</v>
      </c>
    </row>
    <row r="5" customFormat="false" ht="15" hidden="false" customHeight="false" outlineLevel="0" collapsed="false">
      <c r="A5" s="25" t="s">
        <v>1206</v>
      </c>
      <c r="B5" s="25" t="s">
        <v>1141</v>
      </c>
      <c r="C5" s="25" t="s">
        <v>1207</v>
      </c>
      <c r="D5" s="25" t="n">
        <v>1</v>
      </c>
      <c r="E5" s="25" t="s">
        <v>1208</v>
      </c>
      <c r="F5" s="25" t="s">
        <v>1209</v>
      </c>
      <c r="G5" s="25" t="s">
        <v>6</v>
      </c>
      <c r="H5" s="25" t="n">
        <v>0</v>
      </c>
      <c r="I5" s="25" t="n">
        <v>0</v>
      </c>
      <c r="J5" s="25" t="s">
        <v>1187</v>
      </c>
      <c r="K5" s="26" t="str">
        <f aca="false">IF(OR(C5="drywall",C5="wood",C5="carpet",C5="insulation"),"Porous","Hard/Mixed")</f>
        <v>Hard/Mixed</v>
      </c>
      <c r="L5" s="26" t="str">
        <f aca="false">IF(AND(D5=1,OR(K5="Porous",H5=1,I5=1)),"Escalate","Review / Monitor")</f>
        <v>Review / Monitor</v>
      </c>
    </row>
    <row r="6" customFormat="false" ht="15" hidden="false" customHeight="false" outlineLevel="0" collapsed="false">
      <c r="A6" s="25" t="s">
        <v>1210</v>
      </c>
      <c r="B6" s="25" t="s">
        <v>1211</v>
      </c>
      <c r="C6" s="25" t="s">
        <v>1149</v>
      </c>
      <c r="D6" s="25" t="n">
        <v>1</v>
      </c>
      <c r="E6" s="25" t="s">
        <v>186</v>
      </c>
      <c r="F6" s="25" t="s">
        <v>219</v>
      </c>
      <c r="G6" s="25" t="s">
        <v>1170</v>
      </c>
      <c r="H6" s="25" t="n">
        <v>1</v>
      </c>
      <c r="I6" s="25" t="n">
        <v>1</v>
      </c>
      <c r="J6" s="25" t="s">
        <v>1212</v>
      </c>
      <c r="K6" s="26" t="str">
        <f aca="false">IF(OR(C6="drywall",C6="wood",C6="carpet",C6="insulation"),"Porous","Hard/Mixed")</f>
        <v>Porous</v>
      </c>
      <c r="L6" s="26" t="str">
        <f aca="false">IF(AND(D6=1,OR(K6="Porous",H6=1,I6=1)),"Escalate","Review / Monitor")</f>
        <v>Escalate</v>
      </c>
    </row>
    <row r="7" customFormat="false" ht="15" hidden="false" customHeight="false" outlineLevel="0" collapsed="false">
      <c r="A7" s="25" t="s">
        <v>1213</v>
      </c>
      <c r="B7" s="25" t="s">
        <v>1214</v>
      </c>
      <c r="C7" s="25" t="s">
        <v>1215</v>
      </c>
      <c r="D7" s="25" t="n">
        <v>1</v>
      </c>
      <c r="E7" s="25" t="s">
        <v>1216</v>
      </c>
      <c r="F7" s="25" t="s">
        <v>1217</v>
      </c>
      <c r="G7" s="25" t="s">
        <v>6</v>
      </c>
      <c r="H7" s="25" t="n">
        <v>1</v>
      </c>
      <c r="I7" s="25" t="n">
        <v>1</v>
      </c>
      <c r="J7" s="25" t="s">
        <v>1214</v>
      </c>
      <c r="K7" s="26" t="str">
        <f aca="false">IF(OR(C7="drywall",C7="wood",C7="carpet",C7="insulation"),"Porous","Hard/Mixed")</f>
        <v>Hard/Mixed</v>
      </c>
      <c r="L7" s="26" t="str">
        <f aca="false">IF(AND(D7=1,OR(K7="Porous",H7=1,I7=1)),"Escalate","Review / Monitor")</f>
        <v>Escalate</v>
      </c>
    </row>
    <row r="8" customFormat="false" ht="15" hidden="false" customHeight="false" outlineLevel="0" collapsed="false">
      <c r="A8" s="25" t="s">
        <v>1218</v>
      </c>
      <c r="B8" s="25" t="s">
        <v>1219</v>
      </c>
      <c r="C8" s="25" t="s">
        <v>1220</v>
      </c>
      <c r="D8" s="25" t="n">
        <v>1</v>
      </c>
      <c r="E8" s="25" t="s">
        <v>30</v>
      </c>
      <c r="F8" s="25" t="s">
        <v>8</v>
      </c>
      <c r="G8" s="25" t="s">
        <v>80</v>
      </c>
      <c r="H8" s="25" t="n">
        <v>0</v>
      </c>
      <c r="I8" s="25" t="n">
        <v>0</v>
      </c>
      <c r="J8" s="25" t="s">
        <v>1221</v>
      </c>
      <c r="K8" s="26" t="str">
        <f aca="false">IF(OR(C8="drywall",C8="wood",C8="carpet",C8="insulation"),"Porous","Hard/Mixed")</f>
        <v>Porous</v>
      </c>
      <c r="L8" s="26" t="str">
        <f aca="false">IF(AND(D8=1,OR(K8="Porous",H8=1,I8=1)),"Escalate","Review / Monitor")</f>
        <v>Escalate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5" min="4" style="0" width="34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1" t="s">
        <v>1222</v>
      </c>
      <c r="B1" s="11"/>
      <c r="C1" s="11"/>
      <c r="D1" s="11"/>
      <c r="E1" s="11"/>
      <c r="F1" s="11"/>
    </row>
    <row r="2" customFormat="false" ht="15" hidden="false" customHeight="true" outlineLevel="0" collapsed="false">
      <c r="A2" s="12" t="s">
        <v>1223</v>
      </c>
      <c r="B2" s="12"/>
      <c r="C2" s="12"/>
      <c r="D2" s="12"/>
      <c r="E2" s="12"/>
      <c r="F2" s="12"/>
    </row>
    <row r="4" customFormat="false" ht="15" hidden="false" customHeight="false" outlineLevel="0" collapsed="false">
      <c r="A4" s="13" t="s">
        <v>1224</v>
      </c>
      <c r="B4" s="13" t="s">
        <v>1225</v>
      </c>
      <c r="C4" s="13" t="s">
        <v>1226</v>
      </c>
      <c r="D4" s="13" t="s">
        <v>1227</v>
      </c>
      <c r="E4" s="13" t="s">
        <v>1228</v>
      </c>
      <c r="F4" s="13" t="s">
        <v>1229</v>
      </c>
    </row>
    <row r="5" customFormat="false" ht="41.75" hidden="false" customHeight="false" outlineLevel="0" collapsed="false">
      <c r="A5" s="3" t="s">
        <v>1230</v>
      </c>
      <c r="B5" s="3" t="s">
        <v>1231</v>
      </c>
      <c r="C5" s="3" t="s">
        <v>1232</v>
      </c>
      <c r="D5" s="3" t="s">
        <v>1233</v>
      </c>
      <c r="E5" s="3" t="s">
        <v>1234</v>
      </c>
      <c r="F5" s="3" t="s">
        <v>1235</v>
      </c>
    </row>
    <row r="6" customFormat="false" ht="55.2" hidden="false" customHeight="false" outlineLevel="0" collapsed="false">
      <c r="A6" s="3" t="s">
        <v>1230</v>
      </c>
      <c r="B6" s="3" t="s">
        <v>1236</v>
      </c>
      <c r="C6" s="3" t="s">
        <v>1237</v>
      </c>
      <c r="D6" s="3" t="s">
        <v>1238</v>
      </c>
      <c r="E6" s="3" t="s">
        <v>1239</v>
      </c>
      <c r="F6" s="3" t="s">
        <v>1235</v>
      </c>
    </row>
    <row r="7" customFormat="false" ht="28.35" hidden="false" customHeight="false" outlineLevel="0" collapsed="false">
      <c r="A7" s="3" t="s">
        <v>1230</v>
      </c>
      <c r="B7" s="3" t="s">
        <v>1240</v>
      </c>
      <c r="C7" s="3" t="s">
        <v>1241</v>
      </c>
      <c r="D7" s="3" t="s">
        <v>1242</v>
      </c>
      <c r="E7" s="3" t="s">
        <v>1243</v>
      </c>
      <c r="F7" s="3" t="s">
        <v>1244</v>
      </c>
    </row>
    <row r="8" customFormat="false" ht="41.75" hidden="false" customHeight="false" outlineLevel="0" collapsed="false">
      <c r="A8" s="3" t="s">
        <v>1230</v>
      </c>
      <c r="B8" s="3" t="s">
        <v>1245</v>
      </c>
      <c r="C8" s="3" t="s">
        <v>1246</v>
      </c>
      <c r="D8" s="3" t="s">
        <v>1247</v>
      </c>
      <c r="E8" s="3" t="s">
        <v>1248</v>
      </c>
      <c r="F8" s="3" t="s">
        <v>1249</v>
      </c>
    </row>
    <row r="9" customFormat="false" ht="41.75" hidden="false" customHeight="false" outlineLevel="0" collapsed="false">
      <c r="A9" s="3" t="s">
        <v>1230</v>
      </c>
      <c r="B9" s="3" t="s">
        <v>1250</v>
      </c>
      <c r="C9" s="3" t="s">
        <v>1251</v>
      </c>
      <c r="D9" s="3" t="s">
        <v>1252</v>
      </c>
      <c r="E9" s="3" t="s">
        <v>1253</v>
      </c>
      <c r="F9" s="3" t="s">
        <v>1235</v>
      </c>
    </row>
    <row r="10" customFormat="false" ht="41.75" hidden="false" customHeight="false" outlineLevel="0" collapsed="false">
      <c r="A10" s="3" t="s">
        <v>1254</v>
      </c>
      <c r="B10" s="3" t="s">
        <v>1255</v>
      </c>
      <c r="C10" s="3" t="s">
        <v>1256</v>
      </c>
      <c r="D10" s="3" t="s">
        <v>1257</v>
      </c>
      <c r="E10" s="3" t="s">
        <v>1258</v>
      </c>
      <c r="F10" s="3" t="s">
        <v>1244</v>
      </c>
    </row>
    <row r="11" customFormat="false" ht="55.2" hidden="false" customHeight="false" outlineLevel="0" collapsed="false">
      <c r="A11" s="3" t="s">
        <v>1259</v>
      </c>
      <c r="B11" s="3" t="s">
        <v>1260</v>
      </c>
      <c r="C11" s="3" t="s">
        <v>1261</v>
      </c>
      <c r="D11" s="3" t="s">
        <v>1262</v>
      </c>
      <c r="E11" s="3" t="s">
        <v>1263</v>
      </c>
      <c r="F11" s="3" t="s">
        <v>1249</v>
      </c>
    </row>
    <row r="12" customFormat="false" ht="41.75" hidden="false" customHeight="false" outlineLevel="0" collapsed="false">
      <c r="A12" s="3" t="s">
        <v>1264</v>
      </c>
      <c r="B12" s="3" t="s">
        <v>1265</v>
      </c>
      <c r="C12" s="3" t="s">
        <v>1266</v>
      </c>
      <c r="D12" s="3" t="s">
        <v>1267</v>
      </c>
      <c r="E12" s="3" t="s">
        <v>1268</v>
      </c>
      <c r="F12" s="3" t="s">
        <v>1244</v>
      </c>
    </row>
    <row r="13" customFormat="false" ht="41.75" hidden="false" customHeight="false" outlineLevel="0" collapsed="false">
      <c r="A13" s="3" t="s">
        <v>1269</v>
      </c>
      <c r="B13" s="3" t="s">
        <v>1270</v>
      </c>
      <c r="C13" s="3" t="s">
        <v>1271</v>
      </c>
      <c r="D13" s="3" t="s">
        <v>1272</v>
      </c>
      <c r="E13" s="3" t="s">
        <v>1273</v>
      </c>
      <c r="F13" s="3" t="s">
        <v>1249</v>
      </c>
    </row>
    <row r="16" customFormat="false" ht="17.35" hidden="false" customHeight="false" outlineLevel="0" collapsed="false">
      <c r="A16" s="11" t="s">
        <v>1274</v>
      </c>
      <c r="B16" s="11"/>
      <c r="C16" s="11"/>
      <c r="D16" s="11"/>
      <c r="E16" s="11"/>
      <c r="F16" s="11"/>
    </row>
    <row r="17" customFormat="false" ht="28.35" hidden="false" customHeight="false" outlineLevel="0" collapsed="false">
      <c r="A17" s="13" t="s">
        <v>1275</v>
      </c>
      <c r="B17" s="13" t="s">
        <v>1276</v>
      </c>
      <c r="C17" s="13" t="s">
        <v>842</v>
      </c>
      <c r="D17" s="13" t="s">
        <v>1277</v>
      </c>
      <c r="E17" s="13" t="s">
        <v>1278</v>
      </c>
      <c r="F17" s="13" t="s">
        <v>1229</v>
      </c>
    </row>
    <row r="18" customFormat="false" ht="28.35" hidden="false" customHeight="false" outlineLevel="0" collapsed="false">
      <c r="A18" s="3" t="s">
        <v>1155</v>
      </c>
      <c r="B18" s="3" t="s">
        <v>1279</v>
      </c>
      <c r="C18" s="3" t="s">
        <v>1280</v>
      </c>
      <c r="D18" s="3" t="s">
        <v>1281</v>
      </c>
      <c r="E18" s="3" t="s">
        <v>1282</v>
      </c>
      <c r="F18" s="3" t="s">
        <v>1244</v>
      </c>
    </row>
    <row r="19" customFormat="false" ht="28.35" hidden="false" customHeight="false" outlineLevel="0" collapsed="false">
      <c r="A19" s="3" t="s">
        <v>1283</v>
      </c>
      <c r="B19" s="3" t="s">
        <v>778</v>
      </c>
      <c r="C19" s="3" t="s">
        <v>1280</v>
      </c>
      <c r="D19" s="3" t="s">
        <v>778</v>
      </c>
      <c r="E19" s="3" t="s">
        <v>1282</v>
      </c>
      <c r="F19" s="3" t="s">
        <v>1244</v>
      </c>
    </row>
    <row r="20" customFormat="false" ht="28.35" hidden="false" customHeight="false" outlineLevel="0" collapsed="false">
      <c r="A20" s="3" t="s">
        <v>1284</v>
      </c>
      <c r="B20" s="3" t="s">
        <v>1285</v>
      </c>
      <c r="C20" s="3" t="s">
        <v>1280</v>
      </c>
      <c r="D20" s="3" t="s">
        <v>778</v>
      </c>
      <c r="E20" s="3" t="s">
        <v>1286</v>
      </c>
      <c r="F20" s="3" t="s">
        <v>1244</v>
      </c>
    </row>
    <row r="21" customFormat="false" ht="28.35" hidden="false" customHeight="false" outlineLevel="0" collapsed="false">
      <c r="A21" s="3" t="s">
        <v>1287</v>
      </c>
      <c r="B21" s="3" t="s">
        <v>1288</v>
      </c>
      <c r="C21" s="3" t="s">
        <v>1289</v>
      </c>
      <c r="D21" s="3" t="s">
        <v>786</v>
      </c>
      <c r="E21" s="3" t="s">
        <v>1290</v>
      </c>
      <c r="F21" s="3" t="s">
        <v>1244</v>
      </c>
    </row>
    <row r="22" customFormat="false" ht="28.35" hidden="false" customHeight="false" outlineLevel="0" collapsed="false">
      <c r="A22" s="3" t="s">
        <v>1291</v>
      </c>
      <c r="B22" s="3" t="s">
        <v>668</v>
      </c>
      <c r="C22" s="3" t="s">
        <v>1292</v>
      </c>
      <c r="D22" s="3" t="s">
        <v>668</v>
      </c>
      <c r="E22" s="3" t="s">
        <v>1293</v>
      </c>
      <c r="F22" s="3" t="s">
        <v>1244</v>
      </c>
    </row>
    <row r="23" customFormat="false" ht="28.35" hidden="false" customHeight="false" outlineLevel="0" collapsed="false">
      <c r="A23" s="3" t="s">
        <v>1294</v>
      </c>
      <c r="B23" s="3" t="s">
        <v>1295</v>
      </c>
      <c r="C23" s="3" t="s">
        <v>1296</v>
      </c>
      <c r="D23" s="3" t="s">
        <v>1295</v>
      </c>
      <c r="E23" s="3" t="s">
        <v>1297</v>
      </c>
      <c r="F23" s="3" t="s">
        <v>1244</v>
      </c>
    </row>
    <row r="24" customFormat="false" ht="28.35" hidden="false" customHeight="false" outlineLevel="0" collapsed="false">
      <c r="A24" s="3" t="s">
        <v>1298</v>
      </c>
      <c r="B24" s="3" t="s">
        <v>1299</v>
      </c>
      <c r="C24" s="3" t="s">
        <v>1300</v>
      </c>
      <c r="D24" s="3" t="s">
        <v>1301</v>
      </c>
      <c r="E24" s="3" t="s">
        <v>1302</v>
      </c>
      <c r="F24" s="3" t="s">
        <v>1244</v>
      </c>
    </row>
    <row r="27" customFormat="false" ht="17.35" hidden="false" customHeight="false" outlineLevel="0" collapsed="false">
      <c r="A27" s="11" t="s">
        <v>1303</v>
      </c>
      <c r="B27" s="11"/>
      <c r="C27" s="11"/>
      <c r="D27" s="11"/>
      <c r="E27" s="11"/>
      <c r="F27" s="11"/>
    </row>
    <row r="28" customFormat="false" ht="15" hidden="false" customHeight="false" outlineLevel="0" collapsed="false">
      <c r="A28" s="13" t="s">
        <v>1304</v>
      </c>
      <c r="B28" s="13" t="s">
        <v>1305</v>
      </c>
      <c r="C28" s="13" t="s">
        <v>1306</v>
      </c>
      <c r="D28" s="13" t="s">
        <v>1307</v>
      </c>
      <c r="E28" s="13" t="s">
        <v>1308</v>
      </c>
      <c r="F28" s="13" t="s">
        <v>1229</v>
      </c>
    </row>
    <row r="29" customFormat="false" ht="28.35" hidden="false" customHeight="false" outlineLevel="0" collapsed="false">
      <c r="A29" s="3" t="s">
        <v>1309</v>
      </c>
      <c r="B29" s="3" t="s">
        <v>1310</v>
      </c>
      <c r="C29" s="3" t="s">
        <v>1311</v>
      </c>
      <c r="D29" s="3" t="s">
        <v>1312</v>
      </c>
      <c r="E29" s="3" t="s">
        <v>1313</v>
      </c>
      <c r="F29" s="3" t="s">
        <v>1244</v>
      </c>
    </row>
    <row r="30" customFormat="false" ht="28.35" hidden="false" customHeight="false" outlineLevel="0" collapsed="false">
      <c r="A30" s="3" t="s">
        <v>1314</v>
      </c>
      <c r="B30" s="3" t="s">
        <v>1315</v>
      </c>
      <c r="C30" s="3" t="s">
        <v>1316</v>
      </c>
      <c r="D30" s="3" t="s">
        <v>901</v>
      </c>
      <c r="E30" s="3" t="s">
        <v>1317</v>
      </c>
      <c r="F30" s="3" t="s">
        <v>1244</v>
      </c>
    </row>
    <row r="31" customFormat="false" ht="28.35" hidden="false" customHeight="false" outlineLevel="0" collapsed="false">
      <c r="A31" s="3" t="s">
        <v>786</v>
      </c>
      <c r="B31" s="3" t="s">
        <v>1318</v>
      </c>
      <c r="C31" s="3" t="s">
        <v>1319</v>
      </c>
      <c r="D31" s="3" t="s">
        <v>1320</v>
      </c>
      <c r="E31" s="3" t="s">
        <v>1321</v>
      </c>
      <c r="F31" s="3" t="s">
        <v>1244</v>
      </c>
    </row>
    <row r="32" customFormat="false" ht="28.35" hidden="false" customHeight="false" outlineLevel="0" collapsed="false">
      <c r="A32" s="3" t="s">
        <v>1322</v>
      </c>
      <c r="B32" s="3" t="s">
        <v>1323</v>
      </c>
      <c r="C32" s="3" t="s">
        <v>1324</v>
      </c>
      <c r="D32" s="3" t="s">
        <v>1325</v>
      </c>
      <c r="E32" s="3" t="s">
        <v>1326</v>
      </c>
      <c r="F32" s="3" t="s">
        <v>1244</v>
      </c>
    </row>
  </sheetData>
  <mergeCells count="4">
    <mergeCell ref="A1:F1"/>
    <mergeCell ref="A2:F2"/>
    <mergeCell ref="A16:F16"/>
    <mergeCell ref="A27:F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1"/>
    <col collapsed="false" customWidth="true" hidden="false" outlineLevel="0" max="3" min="3" style="0" width="30"/>
    <col collapsed="false" customWidth="true" hidden="false" outlineLevel="0" max="4" min="4" style="0" width="25"/>
    <col collapsed="false" customWidth="true" hidden="false" outlineLevel="0" max="5" min="5" style="0" width="20"/>
    <col collapsed="false" customWidth="true" hidden="false" outlineLevel="0" max="10" min="6" style="0" width="30"/>
  </cols>
  <sheetData>
    <row r="1" customFormat="false" ht="17.35" hidden="false" customHeight="false" outlineLevel="0" collapsed="false">
      <c r="A1" s="11" t="s">
        <v>1327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15" hidden="false" customHeight="true" outlineLevel="0" collapsed="false">
      <c r="A2" s="12" t="s">
        <v>1328</v>
      </c>
      <c r="B2" s="12"/>
      <c r="C2" s="12"/>
      <c r="D2" s="12"/>
      <c r="E2" s="12"/>
      <c r="F2" s="12"/>
      <c r="G2" s="12"/>
      <c r="H2" s="12"/>
      <c r="I2" s="12"/>
      <c r="J2" s="12"/>
    </row>
    <row r="4" customFormat="false" ht="17.35" hidden="false" customHeight="false" outlineLevel="0" collapsed="false">
      <c r="A4" s="11" t="s">
        <v>1329</v>
      </c>
      <c r="B4" s="11"/>
      <c r="C4" s="11"/>
      <c r="D4" s="11"/>
      <c r="E4" s="11"/>
      <c r="F4" s="11"/>
      <c r="G4" s="11"/>
      <c r="H4" s="11"/>
      <c r="I4" s="11"/>
      <c r="J4" s="11"/>
    </row>
    <row r="5" customFormat="false" ht="15" hidden="false" customHeight="false" outlineLevel="0" collapsed="false">
      <c r="A5" s="13" t="s">
        <v>1330</v>
      </c>
      <c r="B5" s="13" t="s">
        <v>1331</v>
      </c>
      <c r="C5" s="13" t="s">
        <v>1332</v>
      </c>
      <c r="D5" s="13" t="s">
        <v>1333</v>
      </c>
      <c r="E5" s="13" t="s">
        <v>1334</v>
      </c>
      <c r="F5" s="13" t="s">
        <v>1335</v>
      </c>
      <c r="G5" s="13" t="s">
        <v>1336</v>
      </c>
      <c r="H5" s="13" t="s">
        <v>1337</v>
      </c>
      <c r="I5" s="13" t="s">
        <v>1338</v>
      </c>
      <c r="J5" s="13" t="s">
        <v>1339</v>
      </c>
    </row>
    <row r="6" customFormat="false" ht="28.35" hidden="false" customHeight="false" outlineLevel="0" collapsed="false">
      <c r="A6" s="3" t="s">
        <v>1340</v>
      </c>
      <c r="B6" s="3" t="s">
        <v>1341</v>
      </c>
      <c r="C6" s="3" t="s">
        <v>1342</v>
      </c>
      <c r="D6" s="3" t="n">
        <v>75</v>
      </c>
      <c r="E6" s="3" t="s">
        <v>1284</v>
      </c>
      <c r="F6" s="3" t="s">
        <v>1343</v>
      </c>
      <c r="G6" s="3" t="n">
        <v>2</v>
      </c>
      <c r="H6" s="3" t="n">
        <v>27</v>
      </c>
      <c r="I6" s="3" t="s">
        <v>1344</v>
      </c>
      <c r="J6" s="3" t="s">
        <v>1345</v>
      </c>
    </row>
    <row r="7" customFormat="false" ht="28.35" hidden="false" customHeight="false" outlineLevel="0" collapsed="false">
      <c r="A7" s="3" t="s">
        <v>1340</v>
      </c>
      <c r="B7" s="3" t="s">
        <v>1341</v>
      </c>
      <c r="C7" s="3" t="s">
        <v>1342</v>
      </c>
      <c r="D7" s="3" t="n">
        <v>75</v>
      </c>
      <c r="E7" s="3" t="s">
        <v>1284</v>
      </c>
      <c r="F7" s="3" t="s">
        <v>1346</v>
      </c>
      <c r="G7" s="3" t="n">
        <v>882</v>
      </c>
      <c r="H7" s="3" t="n">
        <v>11760</v>
      </c>
      <c r="I7" s="3" t="s">
        <v>1347</v>
      </c>
      <c r="J7" s="3" t="s">
        <v>1348</v>
      </c>
    </row>
    <row r="8" customFormat="false" ht="28.35" hidden="false" customHeight="false" outlineLevel="0" collapsed="false">
      <c r="A8" s="3" t="s">
        <v>1340</v>
      </c>
      <c r="B8" s="3" t="s">
        <v>1341</v>
      </c>
      <c r="C8" s="3" t="s">
        <v>1342</v>
      </c>
      <c r="D8" s="3" t="n">
        <v>75</v>
      </c>
      <c r="E8" s="3" t="s">
        <v>1284</v>
      </c>
      <c r="F8" s="3" t="s">
        <v>1349</v>
      </c>
      <c r="G8" s="3" t="n">
        <v>2</v>
      </c>
      <c r="H8" s="3" t="n">
        <v>27</v>
      </c>
      <c r="I8" s="3" t="s">
        <v>1344</v>
      </c>
      <c r="J8" s="3" t="s">
        <v>1350</v>
      </c>
    </row>
    <row r="9" customFormat="false" ht="28.35" hidden="false" customHeight="false" outlineLevel="0" collapsed="false">
      <c r="A9" s="3" t="s">
        <v>1340</v>
      </c>
      <c r="B9" s="3" t="s">
        <v>1341</v>
      </c>
      <c r="C9" s="3" t="s">
        <v>1342</v>
      </c>
      <c r="D9" s="3" t="n">
        <v>75</v>
      </c>
      <c r="E9" s="3" t="s">
        <v>1284</v>
      </c>
      <c r="F9" s="3" t="s">
        <v>1351</v>
      </c>
      <c r="G9" s="3" t="n">
        <v>5</v>
      </c>
      <c r="H9" s="3" t="n">
        <v>67</v>
      </c>
      <c r="I9" s="3" t="s">
        <v>1344</v>
      </c>
      <c r="J9" s="3" t="s">
        <v>1352</v>
      </c>
    </row>
    <row r="10" customFormat="false" ht="15" hidden="false" customHeight="false" outlineLevel="0" collapsed="false">
      <c r="A10" s="3" t="s">
        <v>1340</v>
      </c>
      <c r="B10" s="3" t="s">
        <v>1341</v>
      </c>
      <c r="C10" s="3" t="s">
        <v>1342</v>
      </c>
      <c r="D10" s="3" t="n">
        <v>75</v>
      </c>
      <c r="E10" s="3" t="s">
        <v>1284</v>
      </c>
      <c r="F10" s="3" t="s">
        <v>1353</v>
      </c>
      <c r="G10" s="3" t="n">
        <v>1</v>
      </c>
      <c r="H10" s="3" t="n">
        <v>13</v>
      </c>
      <c r="I10" s="3" t="s">
        <v>1344</v>
      </c>
      <c r="J10" s="3" t="s">
        <v>1354</v>
      </c>
    </row>
    <row r="11" customFormat="false" ht="15" hidden="false" customHeight="false" outlineLevel="0" collapsed="false">
      <c r="A11" s="3" t="s">
        <v>1355</v>
      </c>
      <c r="B11" s="3" t="s">
        <v>1356</v>
      </c>
      <c r="C11" s="3" t="s">
        <v>1342</v>
      </c>
      <c r="D11" s="3" t="n">
        <v>75</v>
      </c>
      <c r="E11" s="3" t="s">
        <v>1294</v>
      </c>
      <c r="F11" s="3" t="s">
        <v>1343</v>
      </c>
      <c r="G11" s="3" t="n">
        <v>1</v>
      </c>
      <c r="H11" s="3" t="n">
        <v>13</v>
      </c>
      <c r="I11" s="3" t="s">
        <v>1344</v>
      </c>
      <c r="J11" s="3" t="s">
        <v>1357</v>
      </c>
    </row>
    <row r="12" customFormat="false" ht="15" hidden="false" customHeight="false" outlineLevel="0" collapsed="false">
      <c r="A12" s="3" t="s">
        <v>1355</v>
      </c>
      <c r="B12" s="3" t="s">
        <v>1356</v>
      </c>
      <c r="C12" s="3" t="s">
        <v>1342</v>
      </c>
      <c r="D12" s="3" t="n">
        <v>75</v>
      </c>
      <c r="E12" s="3" t="s">
        <v>1294</v>
      </c>
      <c r="F12" s="3" t="s">
        <v>1346</v>
      </c>
      <c r="G12" s="3" t="n">
        <v>1</v>
      </c>
      <c r="H12" s="3" t="n">
        <v>13</v>
      </c>
      <c r="I12" s="3" t="s">
        <v>1344</v>
      </c>
      <c r="J12" s="3" t="s">
        <v>1358</v>
      </c>
    </row>
    <row r="13" customFormat="false" ht="41.75" hidden="false" customHeight="false" outlineLevel="0" collapsed="false">
      <c r="A13" s="3" t="s">
        <v>1355</v>
      </c>
      <c r="B13" s="3" t="s">
        <v>1356</v>
      </c>
      <c r="C13" s="3" t="s">
        <v>1342</v>
      </c>
      <c r="D13" s="3" t="n">
        <v>75</v>
      </c>
      <c r="E13" s="3" t="s">
        <v>1294</v>
      </c>
      <c r="F13" s="3" t="s">
        <v>1359</v>
      </c>
      <c r="G13" s="3" t="s">
        <v>1360</v>
      </c>
      <c r="H13" s="3" t="s">
        <v>1361</v>
      </c>
      <c r="I13" s="3" t="s">
        <v>1362</v>
      </c>
      <c r="J13" s="3" t="s">
        <v>1363</v>
      </c>
    </row>
    <row r="14" customFormat="false" ht="15" hidden="false" customHeight="false" outlineLevel="0" collapsed="false">
      <c r="A14" s="3" t="s">
        <v>1355</v>
      </c>
      <c r="B14" s="3" t="s">
        <v>1356</v>
      </c>
      <c r="C14" s="3" t="s">
        <v>1342</v>
      </c>
      <c r="D14" s="3" t="n">
        <v>75</v>
      </c>
      <c r="E14" s="3" t="s">
        <v>1294</v>
      </c>
      <c r="F14" s="3" t="s">
        <v>1351</v>
      </c>
      <c r="G14" s="3" t="n">
        <v>1</v>
      </c>
      <c r="H14" s="3" t="n">
        <v>13</v>
      </c>
      <c r="I14" s="3" t="s">
        <v>1344</v>
      </c>
      <c r="J14" s="3" t="s">
        <v>1364</v>
      </c>
    </row>
    <row r="15" customFormat="false" ht="41.75" hidden="false" customHeight="false" outlineLevel="0" collapsed="false">
      <c r="A15" s="3" t="s">
        <v>1365</v>
      </c>
      <c r="B15" s="3" t="s">
        <v>1366</v>
      </c>
      <c r="C15" s="3" t="s">
        <v>1342</v>
      </c>
      <c r="D15" s="3" t="n">
        <v>75</v>
      </c>
      <c r="E15" s="3" t="s">
        <v>1294</v>
      </c>
      <c r="F15" s="3" t="s">
        <v>1359</v>
      </c>
      <c r="G15" s="3" t="s">
        <v>1360</v>
      </c>
      <c r="H15" s="3" t="s">
        <v>1361</v>
      </c>
      <c r="I15" s="3" t="s">
        <v>1362</v>
      </c>
      <c r="J15" s="3" t="s">
        <v>1363</v>
      </c>
    </row>
    <row r="18" customFormat="false" ht="17.35" hidden="false" customHeight="false" outlineLevel="0" collapsed="false">
      <c r="A18" s="11" t="s">
        <v>1367</v>
      </c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15" hidden="false" customHeight="false" outlineLevel="0" collapsed="false">
      <c r="A19" s="13" t="s">
        <v>1330</v>
      </c>
      <c r="B19" s="13" t="s">
        <v>1331</v>
      </c>
      <c r="C19" s="13" t="s">
        <v>1368</v>
      </c>
      <c r="D19" s="13" t="s">
        <v>1369</v>
      </c>
      <c r="E19" s="13" t="s">
        <v>1370</v>
      </c>
      <c r="F19" s="13" t="s">
        <v>1371</v>
      </c>
      <c r="G19" s="13" t="s">
        <v>1372</v>
      </c>
      <c r="H19" s="13" t="s">
        <v>1339</v>
      </c>
      <c r="I19" s="13" t="s">
        <v>1373</v>
      </c>
      <c r="J19" s="13" t="s">
        <v>1374</v>
      </c>
    </row>
    <row r="20" customFormat="false" ht="28.35" hidden="false" customHeight="false" outlineLevel="0" collapsed="false">
      <c r="A20" s="3" t="s">
        <v>1375</v>
      </c>
      <c r="B20" s="3" t="s">
        <v>1376</v>
      </c>
      <c r="C20" s="3" t="s">
        <v>1377</v>
      </c>
      <c r="D20" s="3" t="s">
        <v>665</v>
      </c>
      <c r="E20" s="3" t="s">
        <v>1309</v>
      </c>
      <c r="F20" s="3" t="s">
        <v>1310</v>
      </c>
      <c r="G20" s="3" t="s">
        <v>1378</v>
      </c>
      <c r="H20" s="3" t="s">
        <v>1379</v>
      </c>
      <c r="I20" s="3" t="s">
        <v>1244</v>
      </c>
      <c r="J20" s="3" t="s">
        <v>1380</v>
      </c>
    </row>
    <row r="21" customFormat="false" ht="28.35" hidden="false" customHeight="false" outlineLevel="0" collapsed="false">
      <c r="A21" s="3" t="s">
        <v>1375</v>
      </c>
      <c r="B21" s="3" t="s">
        <v>1376</v>
      </c>
      <c r="C21" s="3" t="s">
        <v>1377</v>
      </c>
      <c r="D21" s="3" t="s">
        <v>1359</v>
      </c>
      <c r="E21" s="3" t="s">
        <v>786</v>
      </c>
      <c r="F21" s="3" t="s">
        <v>1318</v>
      </c>
      <c r="G21" s="3" t="s">
        <v>1381</v>
      </c>
      <c r="H21" s="3" t="s">
        <v>1382</v>
      </c>
      <c r="I21" s="3" t="s">
        <v>1244</v>
      </c>
      <c r="J21" s="3" t="s">
        <v>1380</v>
      </c>
    </row>
    <row r="22" customFormat="false" ht="28.35" hidden="false" customHeight="false" outlineLevel="0" collapsed="false">
      <c r="A22" s="3" t="s">
        <v>1383</v>
      </c>
      <c r="B22" s="3" t="s">
        <v>1384</v>
      </c>
      <c r="C22" s="3" t="s">
        <v>1377</v>
      </c>
      <c r="D22" s="3" t="s">
        <v>665</v>
      </c>
      <c r="E22" s="3" t="s">
        <v>1314</v>
      </c>
      <c r="F22" s="3" t="s">
        <v>1315</v>
      </c>
      <c r="G22" s="3" t="s">
        <v>1385</v>
      </c>
      <c r="H22" s="3" t="s">
        <v>1386</v>
      </c>
      <c r="I22" s="3" t="s">
        <v>1244</v>
      </c>
      <c r="J22" s="3" t="s">
        <v>1380</v>
      </c>
    </row>
    <row r="23" customFormat="false" ht="28.35" hidden="false" customHeight="false" outlineLevel="0" collapsed="false">
      <c r="A23" s="3" t="s">
        <v>1383</v>
      </c>
      <c r="B23" s="3" t="s">
        <v>1384</v>
      </c>
      <c r="C23" s="3" t="s">
        <v>1377</v>
      </c>
      <c r="D23" s="3" t="s">
        <v>1359</v>
      </c>
      <c r="E23" s="3" t="s">
        <v>1314</v>
      </c>
      <c r="F23" s="3" t="s">
        <v>1315</v>
      </c>
      <c r="G23" s="3" t="s">
        <v>1385</v>
      </c>
      <c r="H23" s="3" t="s">
        <v>1386</v>
      </c>
      <c r="I23" s="3" t="s">
        <v>1244</v>
      </c>
      <c r="J23" s="3" t="s">
        <v>1380</v>
      </c>
    </row>
    <row r="24" customFormat="false" ht="28.35" hidden="false" customHeight="false" outlineLevel="0" collapsed="false">
      <c r="A24" s="3" t="s">
        <v>1387</v>
      </c>
      <c r="B24" s="3" t="s">
        <v>1388</v>
      </c>
      <c r="C24" s="3" t="s">
        <v>1377</v>
      </c>
      <c r="D24" s="3" t="s">
        <v>1359</v>
      </c>
      <c r="E24" s="3" t="s">
        <v>1322</v>
      </c>
      <c r="F24" s="3" t="s">
        <v>1323</v>
      </c>
      <c r="G24" s="3" t="s">
        <v>1389</v>
      </c>
      <c r="H24" s="3" t="s">
        <v>1390</v>
      </c>
      <c r="I24" s="3" t="s">
        <v>1244</v>
      </c>
      <c r="J24" s="3" t="s">
        <v>1380</v>
      </c>
    </row>
    <row r="25" customFormat="false" ht="28.35" hidden="false" customHeight="false" outlineLevel="0" collapsed="false">
      <c r="A25" s="3" t="s">
        <v>1391</v>
      </c>
      <c r="B25" s="3" t="s">
        <v>1392</v>
      </c>
      <c r="C25" s="3" t="s">
        <v>1377</v>
      </c>
      <c r="D25" s="3" t="s">
        <v>1359</v>
      </c>
      <c r="E25" s="3" t="s">
        <v>786</v>
      </c>
      <c r="F25" s="3" t="s">
        <v>1318</v>
      </c>
      <c r="G25" s="3" t="s">
        <v>1381</v>
      </c>
      <c r="H25" s="3" t="s">
        <v>1393</v>
      </c>
      <c r="I25" s="3" t="s">
        <v>1244</v>
      </c>
      <c r="J25" s="3" t="s">
        <v>1380</v>
      </c>
    </row>
    <row r="26" customFormat="false" ht="28.35" hidden="false" customHeight="false" outlineLevel="0" collapsed="false">
      <c r="A26" s="3" t="s">
        <v>1391</v>
      </c>
      <c r="B26" s="3" t="s">
        <v>1392</v>
      </c>
      <c r="C26" s="3" t="s">
        <v>1377</v>
      </c>
      <c r="D26" s="3" t="s">
        <v>1351</v>
      </c>
      <c r="E26" s="3" t="s">
        <v>1309</v>
      </c>
      <c r="F26" s="3" t="s">
        <v>1310</v>
      </c>
      <c r="G26" s="3" t="s">
        <v>1378</v>
      </c>
      <c r="H26" s="3" t="s">
        <v>1394</v>
      </c>
      <c r="I26" s="3" t="s">
        <v>1244</v>
      </c>
      <c r="J26" s="3" t="s">
        <v>1380</v>
      </c>
    </row>
    <row r="28" customFormat="false" ht="15" hidden="false" customHeight="false" outlineLevel="0" collapsed="false">
      <c r="A28" s="9" t="s">
        <v>1395</v>
      </c>
      <c r="B28" s="9"/>
      <c r="C28" s="9"/>
      <c r="D28" s="9"/>
      <c r="E28" s="9"/>
      <c r="F28" s="9"/>
      <c r="G28" s="9"/>
      <c r="H28" s="9"/>
      <c r="I28" s="9"/>
      <c r="J28" s="9"/>
    </row>
    <row r="29" customFormat="false" ht="15" hidden="false" customHeight="false" outlineLevel="0" collapsed="false">
      <c r="A29" s="27" t="s">
        <v>1330</v>
      </c>
      <c r="B29" s="27" t="s">
        <v>1331</v>
      </c>
      <c r="C29" s="27" t="s">
        <v>1332</v>
      </c>
      <c r="D29" s="27" t="s">
        <v>1333</v>
      </c>
      <c r="E29" s="27" t="s">
        <v>1334</v>
      </c>
      <c r="F29" s="27" t="s">
        <v>1335</v>
      </c>
      <c r="G29" s="27" t="s">
        <v>1336</v>
      </c>
      <c r="H29" s="27" t="s">
        <v>1337</v>
      </c>
      <c r="I29" s="27" t="s">
        <v>1338</v>
      </c>
      <c r="J29" s="27" t="s">
        <v>1339</v>
      </c>
    </row>
    <row r="30" customFormat="false" ht="15" hidden="false" customHeight="false" outlineLevel="0" collapsed="false">
      <c r="A30" s="0" t="s">
        <v>1396</v>
      </c>
      <c r="B30" s="0" t="s">
        <v>1397</v>
      </c>
      <c r="C30" s="0" t="s">
        <v>1398</v>
      </c>
      <c r="D30" s="0" t="n">
        <v>75</v>
      </c>
      <c r="E30" s="0" t="s">
        <v>1399</v>
      </c>
      <c r="F30" s="0" t="s">
        <v>41</v>
      </c>
      <c r="G30" s="0" t="n">
        <v>7</v>
      </c>
      <c r="H30" s="0" t="n">
        <v>91</v>
      </c>
      <c r="I30" s="0" t="s">
        <v>1400</v>
      </c>
      <c r="J30" s="0" t="s">
        <v>1401</v>
      </c>
    </row>
    <row r="31" customFormat="false" ht="15" hidden="false" customHeight="false" outlineLevel="0" collapsed="false">
      <c r="A31" s="0" t="s">
        <v>1402</v>
      </c>
      <c r="B31" s="0" t="s">
        <v>1403</v>
      </c>
      <c r="C31" s="0" t="s">
        <v>1398</v>
      </c>
      <c r="D31" s="0" t="n">
        <v>75</v>
      </c>
      <c r="E31" s="0" t="s">
        <v>1404</v>
      </c>
      <c r="F31" s="0" t="s">
        <v>41</v>
      </c>
      <c r="G31" s="0" t="n">
        <v>19</v>
      </c>
      <c r="H31" s="0" t="n">
        <v>247</v>
      </c>
      <c r="I31" s="0" t="s">
        <v>1405</v>
      </c>
      <c r="J31" s="0" t="s">
        <v>1406</v>
      </c>
    </row>
    <row r="32" customFormat="false" ht="15" hidden="false" customHeight="false" outlineLevel="0" collapsed="false">
      <c r="A32" s="0" t="s">
        <v>1402</v>
      </c>
      <c r="B32" s="0" t="s">
        <v>1403</v>
      </c>
      <c r="C32" s="0" t="s">
        <v>1398</v>
      </c>
      <c r="D32" s="0" t="n">
        <v>75</v>
      </c>
      <c r="E32" s="0" t="s">
        <v>1404</v>
      </c>
      <c r="F32" s="0" t="s">
        <v>3</v>
      </c>
      <c r="G32" s="0" t="n">
        <v>2</v>
      </c>
      <c r="H32" s="0" t="n">
        <v>26</v>
      </c>
      <c r="I32" s="0" t="s">
        <v>1407</v>
      </c>
      <c r="J32" s="0" t="s">
        <v>1408</v>
      </c>
    </row>
    <row r="33" customFormat="false" ht="15" hidden="false" customHeight="false" outlineLevel="0" collapsed="false">
      <c r="A33" s="0" t="s">
        <v>1409</v>
      </c>
      <c r="B33" s="0" t="s">
        <v>1410</v>
      </c>
      <c r="C33" s="0" t="s">
        <v>1398</v>
      </c>
      <c r="D33" s="0" t="n">
        <v>75</v>
      </c>
      <c r="E33" s="0" t="s">
        <v>1404</v>
      </c>
      <c r="F33" s="0" t="s">
        <v>78</v>
      </c>
      <c r="G33" s="0" t="n">
        <v>39</v>
      </c>
      <c r="H33" s="0" t="n">
        <v>507</v>
      </c>
      <c r="I33" s="0" t="s">
        <v>1411</v>
      </c>
      <c r="J33" s="0" t="s">
        <v>1412</v>
      </c>
    </row>
  </sheetData>
  <mergeCells count="4">
    <mergeCell ref="A1:J1"/>
    <mergeCell ref="A2:J2"/>
    <mergeCell ref="A4:J4"/>
    <mergeCell ref="A18:J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24"/>
    <col collapsed="false" customWidth="true" hidden="false" outlineLevel="0" max="4" min="4" style="0" width="25"/>
    <col collapsed="false" customWidth="true" hidden="false" outlineLevel="0" max="5" min="5" style="0" width="28"/>
    <col collapsed="false" customWidth="true" hidden="false" outlineLevel="0" max="6" min="6" style="0" width="21"/>
    <col collapsed="false" customWidth="true" hidden="false" outlineLevel="0" max="7" min="7" style="0" width="28"/>
    <col collapsed="false" customWidth="true" hidden="false" outlineLevel="0" max="8" min="8" style="0" width="24"/>
    <col collapsed="false" customWidth="true" hidden="false" outlineLevel="0" max="9" min="9" style="0" width="21"/>
    <col collapsed="false" customWidth="true" hidden="false" outlineLevel="0" max="10" min="10" style="0" width="18"/>
    <col collapsed="false" customWidth="true" hidden="false" outlineLevel="0" max="11" min="11" style="0" width="22"/>
    <col collapsed="false" customWidth="true" hidden="false" outlineLevel="0" max="12" min="12" style="0" width="28"/>
  </cols>
  <sheetData>
    <row r="1" customFormat="false" ht="17.35" hidden="false" customHeight="false" outlineLevel="0" collapsed="false">
      <c r="A1" s="4" t="s">
        <v>1413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15" hidden="false" customHeight="false" outlineLevel="0" collapsed="false">
      <c r="A2" s="28" t="s">
        <v>1414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4" customFormat="false" ht="28.35" hidden="false" customHeight="false" outlineLevel="0" collapsed="false">
      <c r="A4" s="29" t="s">
        <v>651</v>
      </c>
      <c r="B4" s="29" t="s">
        <v>1415</v>
      </c>
      <c r="C4" s="29" t="s">
        <v>1416</v>
      </c>
      <c r="D4" s="29" t="s">
        <v>1417</v>
      </c>
      <c r="E4" s="29" t="s">
        <v>1418</v>
      </c>
      <c r="F4" s="29" t="s">
        <v>1419</v>
      </c>
      <c r="G4" s="29" t="s">
        <v>1420</v>
      </c>
      <c r="H4" s="29" t="s">
        <v>1421</v>
      </c>
      <c r="I4" s="29" t="s">
        <v>1422</v>
      </c>
      <c r="J4" s="29" t="s">
        <v>1423</v>
      </c>
      <c r="K4" s="29" t="s">
        <v>1424</v>
      </c>
      <c r="L4" s="29" t="s">
        <v>1425</v>
      </c>
    </row>
    <row r="5" customFormat="false" ht="15" hidden="false" customHeight="false" outlineLevel="0" collapsed="false">
      <c r="A5" s="0" t="s">
        <v>653</v>
      </c>
      <c r="B5" s="0" t="s">
        <v>1426</v>
      </c>
      <c r="C5" s="30" t="n">
        <v>220</v>
      </c>
      <c r="D5" s="30" t="n">
        <v>1800</v>
      </c>
      <c r="E5" s="0" t="s">
        <v>78</v>
      </c>
      <c r="F5" s="0" t="s">
        <v>1075</v>
      </c>
      <c r="G5" s="0" t="s">
        <v>1075</v>
      </c>
      <c r="H5" s="0" t="s">
        <v>1075</v>
      </c>
      <c r="I5" s="0" t="s">
        <v>1075</v>
      </c>
      <c r="J5" s="0" t="n">
        <v>48</v>
      </c>
      <c r="K5" s="0" t="s">
        <v>1427</v>
      </c>
      <c r="L5" s="0" t="s">
        <v>1428</v>
      </c>
    </row>
    <row r="6" customFormat="false" ht="15" hidden="false" customHeight="false" outlineLevel="0" collapsed="false">
      <c r="A6" s="0" t="s">
        <v>1429</v>
      </c>
      <c r="B6" s="0" t="s">
        <v>1430</v>
      </c>
      <c r="C6" s="30" t="n">
        <v>988</v>
      </c>
      <c r="D6" s="30" t="n">
        <v>2314</v>
      </c>
      <c r="E6" s="0" t="s">
        <v>41</v>
      </c>
      <c r="F6" s="0" t="s">
        <v>1089</v>
      </c>
      <c r="G6" s="0" t="s">
        <v>1089</v>
      </c>
      <c r="H6" s="0" t="s">
        <v>1089</v>
      </c>
      <c r="I6" s="0" t="s">
        <v>1089</v>
      </c>
      <c r="J6" s="0" t="n">
        <v>68</v>
      </c>
      <c r="K6" s="0" t="s">
        <v>1431</v>
      </c>
      <c r="L6" s="0" t="s">
        <v>662</v>
      </c>
    </row>
    <row r="7" customFormat="false" ht="15" hidden="false" customHeight="false" outlineLevel="0" collapsed="false">
      <c r="A7" s="0" t="s">
        <v>1432</v>
      </c>
      <c r="B7" s="0" t="s">
        <v>1433</v>
      </c>
      <c r="C7" s="30" t="n">
        <v>16053</v>
      </c>
      <c r="D7" s="30" t="n">
        <v>11893</v>
      </c>
      <c r="E7" s="0" t="s">
        <v>1434</v>
      </c>
      <c r="F7" s="0" t="s">
        <v>1089</v>
      </c>
      <c r="G7" s="0" t="s">
        <v>1089</v>
      </c>
      <c r="H7" s="0" t="s">
        <v>1089</v>
      </c>
      <c r="I7" s="0" t="s">
        <v>1089</v>
      </c>
      <c r="J7" s="0" t="n">
        <v>75</v>
      </c>
      <c r="K7" s="0" t="s">
        <v>1431</v>
      </c>
      <c r="L7" s="0" t="s">
        <v>1435</v>
      </c>
    </row>
    <row r="8" customFormat="false" ht="15" hidden="false" customHeight="false" outlineLevel="0" collapsed="false">
      <c r="A8" s="0" t="s">
        <v>1436</v>
      </c>
      <c r="B8" s="0" t="s">
        <v>1437</v>
      </c>
      <c r="C8" s="30" t="n">
        <v>520</v>
      </c>
      <c r="D8" s="30" t="n">
        <v>1100</v>
      </c>
      <c r="E8" s="0" t="s">
        <v>78</v>
      </c>
      <c r="F8" s="0" t="s">
        <v>1075</v>
      </c>
      <c r="G8" s="0" t="s">
        <v>1075</v>
      </c>
      <c r="H8" s="0" t="s">
        <v>1075</v>
      </c>
      <c r="I8" s="0" t="s">
        <v>1075</v>
      </c>
      <c r="J8" s="0" t="n">
        <v>61</v>
      </c>
      <c r="K8" s="0" t="s">
        <v>1427</v>
      </c>
      <c r="L8" s="0" t="s">
        <v>1438</v>
      </c>
    </row>
    <row r="9" customFormat="false" ht="15" hidden="false" customHeight="false" outlineLevel="0" collapsed="false">
      <c r="A9" s="0" t="s">
        <v>1439</v>
      </c>
      <c r="B9" s="0" t="s">
        <v>1440</v>
      </c>
      <c r="C9" s="30" t="n">
        <v>0</v>
      </c>
      <c r="D9" s="30" t="n">
        <v>0</v>
      </c>
      <c r="E9" s="0" t="s">
        <v>984</v>
      </c>
      <c r="F9" s="0" t="s">
        <v>1075</v>
      </c>
      <c r="G9" s="0" t="s">
        <v>984</v>
      </c>
      <c r="H9" s="0" t="s">
        <v>1089</v>
      </c>
      <c r="I9" s="0" t="s">
        <v>984</v>
      </c>
      <c r="J9" s="0" t="n">
        <v>65</v>
      </c>
      <c r="K9" s="0" t="s">
        <v>1431</v>
      </c>
      <c r="L9" s="0" t="s">
        <v>1441</v>
      </c>
    </row>
  </sheetData>
  <autoFilter ref="A4:L9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21"/>
    <col collapsed="false" customWidth="true" hidden="false" outlineLevel="0" max="5" min="5" style="0" width="19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23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1" min="11" style="0" width="30"/>
    <col collapsed="false" customWidth="true" hidden="false" outlineLevel="0" max="12" min="12" style="0" width="11"/>
    <col collapsed="false" customWidth="true" hidden="false" outlineLevel="0" max="13" min="13" style="0" width="15"/>
    <col collapsed="false" customWidth="true" hidden="false" outlineLevel="0" max="14" min="14" style="0" width="18"/>
    <col collapsed="false" customWidth="true" hidden="false" outlineLevel="0" max="15" min="15" style="0" width="25"/>
    <col collapsed="false" customWidth="true" hidden="false" outlineLevel="0" max="17" min="16" style="0" width="24"/>
    <col collapsed="false" customWidth="true" hidden="false" outlineLevel="0" max="20" min="18" style="0" width="30"/>
  </cols>
  <sheetData>
    <row r="1" customFormat="false" ht="17.35" hidden="false" customHeight="false" outlineLevel="0" collapsed="false">
      <c r="A1" s="4" t="s">
        <v>1442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customFormat="false" ht="15" hidden="false" customHeight="false" outlineLevel="0" collapsed="false">
      <c r="A2" s="28" t="s">
        <v>1443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4" customFormat="false" ht="28.35" hidden="false" customHeight="false" outlineLevel="0" collapsed="false">
      <c r="A4" s="27" t="s">
        <v>1444</v>
      </c>
      <c r="B4" s="27" t="s">
        <v>1445</v>
      </c>
      <c r="C4" s="27" t="s">
        <v>1330</v>
      </c>
      <c r="D4" s="27" t="s">
        <v>1331</v>
      </c>
      <c r="E4" s="27" t="s">
        <v>1446</v>
      </c>
      <c r="F4" s="27" t="s">
        <v>1447</v>
      </c>
      <c r="G4" s="27" t="s">
        <v>1448</v>
      </c>
      <c r="H4" s="27" t="s">
        <v>1449</v>
      </c>
      <c r="I4" s="27" t="s">
        <v>1450</v>
      </c>
      <c r="J4" s="27" t="s">
        <v>1423</v>
      </c>
      <c r="K4" s="27" t="s">
        <v>1451</v>
      </c>
      <c r="L4" s="27" t="s">
        <v>1336</v>
      </c>
      <c r="M4" s="27" t="s">
        <v>1452</v>
      </c>
      <c r="N4" s="27" t="s">
        <v>1338</v>
      </c>
      <c r="O4" s="27" t="s">
        <v>1453</v>
      </c>
      <c r="P4" s="27" t="s">
        <v>666</v>
      </c>
      <c r="Q4" s="27" t="s">
        <v>1454</v>
      </c>
      <c r="R4" s="27" t="s">
        <v>1455</v>
      </c>
      <c r="S4" s="27" t="s">
        <v>1373</v>
      </c>
      <c r="T4" s="27" t="s">
        <v>1456</v>
      </c>
    </row>
    <row r="5" customFormat="false" ht="15" hidden="false" customHeight="false" outlineLevel="0" collapsed="false">
      <c r="A5" s="0" t="s">
        <v>1457</v>
      </c>
      <c r="B5" s="0" t="s">
        <v>1458</v>
      </c>
      <c r="C5" s="0" t="s">
        <v>1340</v>
      </c>
      <c r="D5" s="0" t="s">
        <v>1341</v>
      </c>
      <c r="E5" s="0" t="s">
        <v>1459</v>
      </c>
      <c r="F5" s="0" t="s">
        <v>1342</v>
      </c>
      <c r="G5" s="30" t="n">
        <v>75</v>
      </c>
      <c r="H5" s="0" t="s">
        <v>1284</v>
      </c>
      <c r="I5" s="31"/>
      <c r="J5" s="31"/>
      <c r="K5" s="0" t="s">
        <v>1343</v>
      </c>
      <c r="L5" s="30" t="n">
        <v>2</v>
      </c>
      <c r="M5" s="30" t="n">
        <v>27</v>
      </c>
      <c r="N5" s="0" t="s">
        <v>1344</v>
      </c>
      <c r="O5" s="0" t="s">
        <v>97</v>
      </c>
      <c r="P5" s="0" t="s">
        <v>778</v>
      </c>
      <c r="Q5" s="0" t="n">
        <v>1</v>
      </c>
      <c r="R5" s="0" t="s">
        <v>1345</v>
      </c>
      <c r="S5" s="0" t="s">
        <v>1244</v>
      </c>
      <c r="T5" s="0" t="s">
        <v>1460</v>
      </c>
    </row>
    <row r="6" customFormat="false" ht="15" hidden="false" customHeight="false" outlineLevel="0" collapsed="false">
      <c r="A6" s="0" t="s">
        <v>1457</v>
      </c>
      <c r="B6" s="0" t="s">
        <v>1458</v>
      </c>
      <c r="C6" s="0" t="s">
        <v>1340</v>
      </c>
      <c r="D6" s="0" t="s">
        <v>1341</v>
      </c>
      <c r="E6" s="0" t="s">
        <v>1459</v>
      </c>
      <c r="F6" s="0" t="s">
        <v>1342</v>
      </c>
      <c r="G6" s="30" t="n">
        <v>75</v>
      </c>
      <c r="H6" s="0" t="s">
        <v>1284</v>
      </c>
      <c r="I6" s="31"/>
      <c r="J6" s="31"/>
      <c r="K6" s="0" t="s">
        <v>1346</v>
      </c>
      <c r="L6" s="30" t="n">
        <v>882</v>
      </c>
      <c r="M6" s="30" t="n">
        <v>11760</v>
      </c>
      <c r="N6" s="0" t="s">
        <v>1347</v>
      </c>
      <c r="O6" s="0" t="s">
        <v>1346</v>
      </c>
      <c r="P6" s="0" t="s">
        <v>778</v>
      </c>
      <c r="Q6" s="0" t="n">
        <v>1</v>
      </c>
      <c r="R6" s="0" t="s">
        <v>1348</v>
      </c>
      <c r="S6" s="0" t="s">
        <v>1244</v>
      </c>
      <c r="T6" s="0" t="s">
        <v>1461</v>
      </c>
    </row>
    <row r="7" customFormat="false" ht="15" hidden="false" customHeight="false" outlineLevel="0" collapsed="false">
      <c r="A7" s="0" t="s">
        <v>1457</v>
      </c>
      <c r="B7" s="0" t="s">
        <v>1458</v>
      </c>
      <c r="C7" s="0" t="s">
        <v>1340</v>
      </c>
      <c r="D7" s="0" t="s">
        <v>1341</v>
      </c>
      <c r="E7" s="0" t="s">
        <v>1459</v>
      </c>
      <c r="F7" s="0" t="s">
        <v>1342</v>
      </c>
      <c r="G7" s="30" t="n">
        <v>75</v>
      </c>
      <c r="H7" s="0" t="s">
        <v>1284</v>
      </c>
      <c r="I7" s="31"/>
      <c r="J7" s="31"/>
      <c r="K7" s="0" t="s">
        <v>1349</v>
      </c>
      <c r="L7" s="30" t="n">
        <v>2</v>
      </c>
      <c r="M7" s="30" t="n">
        <v>27</v>
      </c>
      <c r="N7" s="0" t="s">
        <v>1344</v>
      </c>
      <c r="O7" s="0" t="s">
        <v>118</v>
      </c>
      <c r="P7" s="0" t="s">
        <v>668</v>
      </c>
      <c r="Q7" s="0" t="n">
        <v>1</v>
      </c>
      <c r="R7" s="0" t="s">
        <v>1462</v>
      </c>
      <c r="S7" s="0" t="s">
        <v>1244</v>
      </c>
      <c r="T7" s="0" t="s">
        <v>1461</v>
      </c>
    </row>
    <row r="8" customFormat="false" ht="15" hidden="false" customHeight="false" outlineLevel="0" collapsed="false">
      <c r="A8" s="0" t="s">
        <v>1457</v>
      </c>
      <c r="B8" s="0" t="s">
        <v>1458</v>
      </c>
      <c r="C8" s="0" t="s">
        <v>1340</v>
      </c>
      <c r="D8" s="0" t="s">
        <v>1341</v>
      </c>
      <c r="E8" s="0" t="s">
        <v>1459</v>
      </c>
      <c r="F8" s="0" t="s">
        <v>1342</v>
      </c>
      <c r="G8" s="30" t="n">
        <v>75</v>
      </c>
      <c r="H8" s="0" t="s">
        <v>1284</v>
      </c>
      <c r="I8" s="31"/>
      <c r="J8" s="31"/>
      <c r="K8" s="0" t="s">
        <v>1351</v>
      </c>
      <c r="L8" s="30" t="n">
        <v>5</v>
      </c>
      <c r="M8" s="30" t="n">
        <v>67</v>
      </c>
      <c r="N8" s="0" t="s">
        <v>1344</v>
      </c>
      <c r="O8" s="0" t="s">
        <v>78</v>
      </c>
      <c r="P8" s="0" t="s">
        <v>778</v>
      </c>
      <c r="Q8" s="0" t="n">
        <v>1</v>
      </c>
      <c r="R8" s="0" t="s">
        <v>1463</v>
      </c>
      <c r="S8" s="0" t="s">
        <v>1244</v>
      </c>
      <c r="T8" s="0" t="s">
        <v>1461</v>
      </c>
    </row>
    <row r="9" customFormat="false" ht="15" hidden="false" customHeight="false" outlineLevel="0" collapsed="false">
      <c r="A9" s="0" t="s">
        <v>1457</v>
      </c>
      <c r="B9" s="0" t="s">
        <v>1458</v>
      </c>
      <c r="C9" s="0" t="s">
        <v>1355</v>
      </c>
      <c r="D9" s="0" t="s">
        <v>1356</v>
      </c>
      <c r="E9" s="0" t="s">
        <v>1464</v>
      </c>
      <c r="F9" s="0" t="s">
        <v>1342</v>
      </c>
      <c r="G9" s="30" t="n">
        <v>75</v>
      </c>
      <c r="H9" s="0" t="s">
        <v>1294</v>
      </c>
      <c r="I9" s="31"/>
      <c r="J9" s="31"/>
      <c r="K9" s="0" t="s">
        <v>1346</v>
      </c>
      <c r="L9" s="30" t="n">
        <v>1</v>
      </c>
      <c r="M9" s="30" t="n">
        <v>13</v>
      </c>
      <c r="N9" s="0" t="s">
        <v>1344</v>
      </c>
      <c r="O9" s="0" t="s">
        <v>1346</v>
      </c>
      <c r="P9" s="0" t="s">
        <v>778</v>
      </c>
      <c r="Q9" s="0" t="n">
        <v>0.00110544217687075</v>
      </c>
      <c r="R9" s="0" t="s">
        <v>1465</v>
      </c>
      <c r="S9" s="0" t="s">
        <v>1244</v>
      </c>
      <c r="T9" s="0" t="s">
        <v>1461</v>
      </c>
    </row>
    <row r="10" customFormat="false" ht="15" hidden="false" customHeight="false" outlineLevel="0" collapsed="false">
      <c r="A10" s="0" t="s">
        <v>1457</v>
      </c>
      <c r="B10" s="0" t="s">
        <v>1458</v>
      </c>
      <c r="C10" s="0" t="s">
        <v>1355</v>
      </c>
      <c r="D10" s="0" t="s">
        <v>1356</v>
      </c>
      <c r="E10" s="0" t="s">
        <v>1464</v>
      </c>
      <c r="F10" s="0" t="s">
        <v>1342</v>
      </c>
      <c r="G10" s="30" t="n">
        <v>75</v>
      </c>
      <c r="H10" s="0" t="s">
        <v>1294</v>
      </c>
      <c r="I10" s="31"/>
      <c r="J10" s="31"/>
      <c r="K10" s="0" t="s">
        <v>1359</v>
      </c>
      <c r="L10" s="30" t="n">
        <v>12000</v>
      </c>
      <c r="M10" s="30" t="n">
        <v>160000</v>
      </c>
      <c r="N10" s="0" t="s">
        <v>1362</v>
      </c>
      <c r="O10" s="0" t="s">
        <v>1359</v>
      </c>
      <c r="P10" s="0" t="s">
        <v>786</v>
      </c>
      <c r="R10" s="0" t="s">
        <v>1466</v>
      </c>
      <c r="S10" s="0" t="s">
        <v>1244</v>
      </c>
      <c r="T10" s="0" t="s">
        <v>1467</v>
      </c>
    </row>
    <row r="11" customFormat="false" ht="15" hidden="false" customHeight="false" outlineLevel="0" collapsed="false">
      <c r="A11" s="0" t="s">
        <v>1457</v>
      </c>
      <c r="B11" s="0" t="s">
        <v>1458</v>
      </c>
      <c r="C11" s="0" t="s">
        <v>1355</v>
      </c>
      <c r="D11" s="0" t="s">
        <v>1356</v>
      </c>
      <c r="E11" s="0" t="s">
        <v>1464</v>
      </c>
      <c r="F11" s="0" t="s">
        <v>1342</v>
      </c>
      <c r="G11" s="30" t="n">
        <v>75</v>
      </c>
      <c r="H11" s="0" t="s">
        <v>1294</v>
      </c>
      <c r="I11" s="31"/>
      <c r="J11" s="31"/>
      <c r="K11" s="0" t="s">
        <v>1351</v>
      </c>
      <c r="L11" s="30" t="n">
        <v>1</v>
      </c>
      <c r="M11" s="30" t="n">
        <v>13</v>
      </c>
      <c r="N11" s="0" t="s">
        <v>1344</v>
      </c>
      <c r="O11" s="0" t="s">
        <v>78</v>
      </c>
      <c r="P11" s="0" t="s">
        <v>778</v>
      </c>
      <c r="Q11" s="0" t="n">
        <v>0.194029850746269</v>
      </c>
      <c r="R11" s="0" t="s">
        <v>1468</v>
      </c>
      <c r="S11" s="0" t="s">
        <v>1244</v>
      </c>
      <c r="T11" s="0" t="s">
        <v>1461</v>
      </c>
    </row>
    <row r="12" customFormat="false" ht="15" hidden="false" customHeight="false" outlineLevel="0" collapsed="false">
      <c r="A12" s="0" t="s">
        <v>1457</v>
      </c>
      <c r="B12" s="0" t="s">
        <v>1458</v>
      </c>
      <c r="C12" s="0" t="s">
        <v>1365</v>
      </c>
      <c r="D12" s="0" t="s">
        <v>1366</v>
      </c>
      <c r="E12" s="0" t="s">
        <v>1464</v>
      </c>
      <c r="F12" s="0" t="s">
        <v>1342</v>
      </c>
      <c r="G12" s="30" t="n">
        <v>75</v>
      </c>
      <c r="H12" s="0" t="s">
        <v>1294</v>
      </c>
      <c r="I12" s="31"/>
      <c r="J12" s="31"/>
      <c r="K12" s="0" t="s">
        <v>1359</v>
      </c>
      <c r="L12" s="30" t="n">
        <v>12000</v>
      </c>
      <c r="M12" s="30" t="n">
        <v>160000</v>
      </c>
      <c r="N12" s="0" t="s">
        <v>1362</v>
      </c>
      <c r="O12" s="0" t="s">
        <v>1359</v>
      </c>
      <c r="P12" s="0" t="s">
        <v>786</v>
      </c>
      <c r="R12" s="0" t="s">
        <v>1469</v>
      </c>
      <c r="S12" s="0" t="s">
        <v>1244</v>
      </c>
      <c r="T12" s="0" t="s">
        <v>1467</v>
      </c>
    </row>
    <row r="13" customFormat="false" ht="15" hidden="false" customHeight="false" outlineLevel="0" collapsed="false">
      <c r="A13" s="0" t="s">
        <v>1457</v>
      </c>
      <c r="B13" s="0" t="s">
        <v>1458</v>
      </c>
      <c r="C13" s="0" t="s">
        <v>1375</v>
      </c>
      <c r="D13" s="0" t="s">
        <v>1376</v>
      </c>
      <c r="E13" s="0" t="s">
        <v>1470</v>
      </c>
      <c r="F13" s="0" t="s">
        <v>1471</v>
      </c>
      <c r="G13" s="30"/>
      <c r="I13" s="31"/>
      <c r="J13" s="31"/>
      <c r="K13" s="0" t="s">
        <v>665</v>
      </c>
      <c r="L13" s="30"/>
      <c r="M13" s="30"/>
      <c r="N13" s="0" t="s">
        <v>1309</v>
      </c>
      <c r="O13" s="0" t="s">
        <v>665</v>
      </c>
      <c r="P13" s="0" t="s">
        <v>786</v>
      </c>
      <c r="R13" s="0" t="s">
        <v>1472</v>
      </c>
      <c r="S13" s="0" t="s">
        <v>1244</v>
      </c>
      <c r="T13" s="0" t="s">
        <v>1473</v>
      </c>
    </row>
    <row r="14" customFormat="false" ht="15" hidden="false" customHeight="false" outlineLevel="0" collapsed="false">
      <c r="A14" s="0" t="s">
        <v>1457</v>
      </c>
      <c r="B14" s="0" t="s">
        <v>1458</v>
      </c>
      <c r="C14" s="0" t="s">
        <v>1383</v>
      </c>
      <c r="D14" s="0" t="s">
        <v>1384</v>
      </c>
      <c r="E14" s="0" t="s">
        <v>1470</v>
      </c>
      <c r="F14" s="0" t="s">
        <v>1471</v>
      </c>
      <c r="G14" s="30"/>
      <c r="I14" s="31"/>
      <c r="J14" s="31"/>
      <c r="K14" s="0" t="s">
        <v>665</v>
      </c>
      <c r="L14" s="30"/>
      <c r="M14" s="30"/>
      <c r="N14" s="0" t="s">
        <v>1314</v>
      </c>
      <c r="O14" s="0" t="s">
        <v>665</v>
      </c>
      <c r="P14" s="0" t="s">
        <v>786</v>
      </c>
      <c r="R14" s="0" t="s">
        <v>1474</v>
      </c>
      <c r="S14" s="0" t="s">
        <v>1244</v>
      </c>
      <c r="T14" s="0" t="s">
        <v>1473</v>
      </c>
    </row>
    <row r="15" customFormat="false" ht="15" hidden="false" customHeight="false" outlineLevel="0" collapsed="false">
      <c r="A15" s="0" t="s">
        <v>1457</v>
      </c>
      <c r="B15" s="0" t="s">
        <v>1458</v>
      </c>
      <c r="C15" s="0" t="s">
        <v>1387</v>
      </c>
      <c r="D15" s="0" t="s">
        <v>1388</v>
      </c>
      <c r="E15" s="0" t="s">
        <v>1470</v>
      </c>
      <c r="F15" s="0" t="s">
        <v>1471</v>
      </c>
      <c r="G15" s="30"/>
      <c r="I15" s="31"/>
      <c r="J15" s="31"/>
      <c r="K15" s="0" t="s">
        <v>1359</v>
      </c>
      <c r="L15" s="30"/>
      <c r="M15" s="30"/>
      <c r="N15" s="0" t="s">
        <v>1322</v>
      </c>
      <c r="O15" s="0" t="s">
        <v>1359</v>
      </c>
      <c r="P15" s="0" t="s">
        <v>786</v>
      </c>
      <c r="R15" s="0" t="s">
        <v>1475</v>
      </c>
      <c r="S15" s="0" t="s">
        <v>1244</v>
      </c>
      <c r="T15" s="0" t="s">
        <v>1473</v>
      </c>
    </row>
    <row r="16" customFormat="false" ht="15" hidden="false" customHeight="false" outlineLevel="0" collapsed="false">
      <c r="A16" s="0" t="s">
        <v>1457</v>
      </c>
      <c r="B16" s="0" t="s">
        <v>1458</v>
      </c>
      <c r="C16" s="0" t="s">
        <v>1391</v>
      </c>
      <c r="D16" s="0" t="s">
        <v>1392</v>
      </c>
      <c r="E16" s="0" t="s">
        <v>1470</v>
      </c>
      <c r="F16" s="0" t="s">
        <v>1471</v>
      </c>
      <c r="G16" s="30"/>
      <c r="I16" s="31"/>
      <c r="J16" s="31"/>
      <c r="K16" s="0" t="s">
        <v>1351</v>
      </c>
      <c r="L16" s="30"/>
      <c r="M16" s="30"/>
      <c r="N16" s="0" t="s">
        <v>1309</v>
      </c>
      <c r="O16" s="0" t="s">
        <v>78</v>
      </c>
      <c r="P16" s="0" t="s">
        <v>778</v>
      </c>
      <c r="R16" s="0" t="s">
        <v>1476</v>
      </c>
      <c r="S16" s="0" t="s">
        <v>1244</v>
      </c>
      <c r="T16" s="0" t="s">
        <v>1473</v>
      </c>
    </row>
    <row r="17" customFormat="false" ht="15" hidden="false" customHeight="false" outlineLevel="0" collapsed="false">
      <c r="A17" s="0" t="s">
        <v>1477</v>
      </c>
      <c r="B17" s="0" t="s">
        <v>1478</v>
      </c>
      <c r="C17" s="0" t="s">
        <v>1396</v>
      </c>
      <c r="D17" s="0" t="s">
        <v>1397</v>
      </c>
      <c r="E17" s="0" t="s">
        <v>1464</v>
      </c>
      <c r="F17" s="0" t="s">
        <v>1398</v>
      </c>
      <c r="G17" s="30" t="n">
        <v>75</v>
      </c>
      <c r="H17" s="0" t="s">
        <v>1399</v>
      </c>
      <c r="I17" s="31" t="n">
        <v>64</v>
      </c>
      <c r="J17" s="31" t="n">
        <v>47</v>
      </c>
      <c r="K17" s="0" t="s">
        <v>41</v>
      </c>
      <c r="L17" s="30" t="n">
        <v>7</v>
      </c>
      <c r="M17" s="30" t="n">
        <v>91</v>
      </c>
      <c r="N17" s="0" t="s">
        <v>1400</v>
      </c>
      <c r="O17" s="0" t="s">
        <v>665</v>
      </c>
      <c r="P17" s="0" t="s">
        <v>786</v>
      </c>
      <c r="Q17" s="0" t="n">
        <v>0.7</v>
      </c>
      <c r="R17" s="0" t="s">
        <v>1479</v>
      </c>
      <c r="S17" s="0" t="s">
        <v>1480</v>
      </c>
      <c r="T17" s="0" t="s">
        <v>1481</v>
      </c>
    </row>
    <row r="18" customFormat="false" ht="15" hidden="false" customHeight="false" outlineLevel="0" collapsed="false">
      <c r="A18" s="0" t="s">
        <v>1477</v>
      </c>
      <c r="B18" s="0" t="s">
        <v>1478</v>
      </c>
      <c r="C18" s="0" t="s">
        <v>1396</v>
      </c>
      <c r="D18" s="0" t="s">
        <v>1397</v>
      </c>
      <c r="E18" s="0" t="s">
        <v>1464</v>
      </c>
      <c r="F18" s="0" t="s">
        <v>1398</v>
      </c>
      <c r="G18" s="30" t="n">
        <v>75</v>
      </c>
      <c r="H18" s="0" t="s">
        <v>1399</v>
      </c>
      <c r="I18" s="31" t="n">
        <v>64</v>
      </c>
      <c r="J18" s="31" t="n">
        <v>47</v>
      </c>
      <c r="K18" s="0" t="s">
        <v>78</v>
      </c>
      <c r="L18" s="30" t="n">
        <v>5</v>
      </c>
      <c r="M18" s="30" t="n">
        <v>65</v>
      </c>
      <c r="N18" s="0" t="s">
        <v>1482</v>
      </c>
      <c r="O18" s="0" t="s">
        <v>78</v>
      </c>
      <c r="P18" s="0" t="s">
        <v>778</v>
      </c>
      <c r="Q18" s="0" t="n">
        <v>0.128205128205128</v>
      </c>
      <c r="R18" s="0" t="s">
        <v>1483</v>
      </c>
      <c r="S18" s="0" t="s">
        <v>1480</v>
      </c>
      <c r="T18" s="0" t="s">
        <v>1484</v>
      </c>
    </row>
    <row r="19" customFormat="false" ht="15" hidden="false" customHeight="false" outlineLevel="0" collapsed="false">
      <c r="A19" s="0" t="s">
        <v>1477</v>
      </c>
      <c r="B19" s="0" t="s">
        <v>1478</v>
      </c>
      <c r="C19" s="0" t="s">
        <v>1402</v>
      </c>
      <c r="D19" s="0" t="s">
        <v>1403</v>
      </c>
      <c r="E19" s="0" t="s">
        <v>1464</v>
      </c>
      <c r="F19" s="0" t="s">
        <v>1398</v>
      </c>
      <c r="G19" s="30" t="n">
        <v>75</v>
      </c>
      <c r="H19" s="0" t="s">
        <v>1404</v>
      </c>
      <c r="I19" s="31" t="n">
        <v>68</v>
      </c>
      <c r="J19" s="31" t="n">
        <v>42</v>
      </c>
      <c r="K19" s="0" t="s">
        <v>41</v>
      </c>
      <c r="L19" s="30" t="n">
        <v>19</v>
      </c>
      <c r="M19" s="30" t="n">
        <v>247</v>
      </c>
      <c r="N19" s="0" t="s">
        <v>1405</v>
      </c>
      <c r="O19" s="0" t="s">
        <v>665</v>
      </c>
      <c r="P19" s="0" t="s">
        <v>786</v>
      </c>
      <c r="Q19" s="0" t="n">
        <v>1.9</v>
      </c>
      <c r="R19" s="0" t="s">
        <v>1485</v>
      </c>
      <c r="S19" s="0" t="s">
        <v>1480</v>
      </c>
      <c r="T19" s="0" t="s">
        <v>1486</v>
      </c>
    </row>
    <row r="20" customFormat="false" ht="15" hidden="false" customHeight="false" outlineLevel="0" collapsed="false">
      <c r="A20" s="0" t="s">
        <v>1477</v>
      </c>
      <c r="B20" s="0" t="s">
        <v>1478</v>
      </c>
      <c r="C20" s="0" t="s">
        <v>1402</v>
      </c>
      <c r="D20" s="0" t="s">
        <v>1403</v>
      </c>
      <c r="E20" s="0" t="s">
        <v>1464</v>
      </c>
      <c r="F20" s="0" t="s">
        <v>1398</v>
      </c>
      <c r="G20" s="30" t="n">
        <v>75</v>
      </c>
      <c r="H20" s="0" t="s">
        <v>1404</v>
      </c>
      <c r="I20" s="31" t="n">
        <v>68</v>
      </c>
      <c r="J20" s="31" t="n">
        <v>42</v>
      </c>
      <c r="K20" s="0" t="s">
        <v>3</v>
      </c>
      <c r="L20" s="30" t="n">
        <v>2</v>
      </c>
      <c r="M20" s="30" t="n">
        <v>26</v>
      </c>
      <c r="N20" s="0" t="s">
        <v>1407</v>
      </c>
      <c r="O20" s="0" t="s">
        <v>3</v>
      </c>
      <c r="P20" s="0" t="s">
        <v>668</v>
      </c>
      <c r="R20" s="0" t="s">
        <v>1487</v>
      </c>
      <c r="S20" s="0" t="s">
        <v>1480</v>
      </c>
      <c r="T20" s="0" t="s">
        <v>1484</v>
      </c>
    </row>
    <row r="21" customFormat="false" ht="15" hidden="false" customHeight="false" outlineLevel="0" collapsed="false">
      <c r="A21" s="0" t="s">
        <v>1477</v>
      </c>
      <c r="B21" s="0" t="s">
        <v>1478</v>
      </c>
      <c r="C21" s="0" t="s">
        <v>1402</v>
      </c>
      <c r="D21" s="0" t="s">
        <v>1403</v>
      </c>
      <c r="E21" s="0" t="s">
        <v>1464</v>
      </c>
      <c r="F21" s="0" t="s">
        <v>1398</v>
      </c>
      <c r="G21" s="30" t="n">
        <v>75</v>
      </c>
      <c r="H21" s="0" t="s">
        <v>1404</v>
      </c>
      <c r="I21" s="31" t="n">
        <v>68</v>
      </c>
      <c r="J21" s="31" t="n">
        <v>42</v>
      </c>
      <c r="K21" s="0" t="s">
        <v>78</v>
      </c>
      <c r="L21" s="30" t="n">
        <v>21</v>
      </c>
      <c r="M21" s="30" t="n">
        <v>273</v>
      </c>
      <c r="N21" s="0" t="s">
        <v>1488</v>
      </c>
      <c r="O21" s="0" t="s">
        <v>78</v>
      </c>
      <c r="P21" s="0" t="s">
        <v>778</v>
      </c>
      <c r="Q21" s="0" t="n">
        <v>0.538461538461538</v>
      </c>
      <c r="R21" s="0" t="s">
        <v>1489</v>
      </c>
      <c r="S21" s="0" t="s">
        <v>1480</v>
      </c>
      <c r="T21" s="0" t="s">
        <v>1484</v>
      </c>
    </row>
    <row r="22" customFormat="false" ht="15" hidden="false" customHeight="false" outlineLevel="0" collapsed="false">
      <c r="A22" s="0" t="s">
        <v>1477</v>
      </c>
      <c r="B22" s="0" t="s">
        <v>1478</v>
      </c>
      <c r="C22" s="0" t="s">
        <v>1409</v>
      </c>
      <c r="D22" s="0" t="s">
        <v>1410</v>
      </c>
      <c r="E22" s="0" t="s">
        <v>1459</v>
      </c>
      <c r="F22" s="0" t="s">
        <v>1398</v>
      </c>
      <c r="G22" s="30" t="n">
        <v>75</v>
      </c>
      <c r="H22" s="0" t="s">
        <v>1404</v>
      </c>
      <c r="I22" s="31" t="n">
        <v>61</v>
      </c>
      <c r="J22" s="31" t="n">
        <v>35</v>
      </c>
      <c r="K22" s="0" t="s">
        <v>41</v>
      </c>
      <c r="L22" s="30" t="n">
        <v>10</v>
      </c>
      <c r="M22" s="30" t="n">
        <v>130</v>
      </c>
      <c r="N22" s="0" t="s">
        <v>1490</v>
      </c>
      <c r="O22" s="0" t="s">
        <v>665</v>
      </c>
      <c r="P22" s="0" t="s">
        <v>786</v>
      </c>
      <c r="Q22" s="0" t="n">
        <v>1</v>
      </c>
      <c r="R22" s="0" t="s">
        <v>1491</v>
      </c>
      <c r="S22" s="0" t="s">
        <v>1480</v>
      </c>
      <c r="T22" s="0" t="s">
        <v>1486</v>
      </c>
    </row>
    <row r="23" customFormat="false" ht="15" hidden="false" customHeight="false" outlineLevel="0" collapsed="false">
      <c r="A23" s="0" t="s">
        <v>1477</v>
      </c>
      <c r="B23" s="0" t="s">
        <v>1478</v>
      </c>
      <c r="C23" s="0" t="s">
        <v>1409</v>
      </c>
      <c r="D23" s="0" t="s">
        <v>1410</v>
      </c>
      <c r="E23" s="0" t="s">
        <v>1459</v>
      </c>
      <c r="F23" s="0" t="s">
        <v>1398</v>
      </c>
      <c r="G23" s="30" t="n">
        <v>75</v>
      </c>
      <c r="H23" s="0" t="s">
        <v>1404</v>
      </c>
      <c r="I23" s="31" t="n">
        <v>61</v>
      </c>
      <c r="J23" s="31" t="n">
        <v>35</v>
      </c>
      <c r="K23" s="0" t="s">
        <v>78</v>
      </c>
      <c r="L23" s="30" t="n">
        <v>39</v>
      </c>
      <c r="M23" s="30" t="n">
        <v>507</v>
      </c>
      <c r="N23" s="0" t="s">
        <v>1411</v>
      </c>
      <c r="O23" s="0" t="s">
        <v>78</v>
      </c>
      <c r="P23" s="0" t="s">
        <v>778</v>
      </c>
      <c r="Q23" s="0" t="n">
        <v>1</v>
      </c>
      <c r="R23" s="0" t="s">
        <v>1492</v>
      </c>
      <c r="S23" s="0" t="s">
        <v>1480</v>
      </c>
      <c r="T23" s="0" t="s">
        <v>1484</v>
      </c>
    </row>
    <row r="24" customFormat="false" ht="15" hidden="false" customHeight="false" outlineLevel="0" collapsed="false">
      <c r="A24" s="0" t="s">
        <v>1477</v>
      </c>
      <c r="B24" s="0" t="s">
        <v>1478</v>
      </c>
      <c r="C24" s="0" t="s">
        <v>1409</v>
      </c>
      <c r="D24" s="0" t="s">
        <v>1410</v>
      </c>
      <c r="E24" s="0" t="s">
        <v>1459</v>
      </c>
      <c r="F24" s="0" t="s">
        <v>1398</v>
      </c>
      <c r="G24" s="30" t="n">
        <v>75</v>
      </c>
      <c r="H24" s="0" t="s">
        <v>1404</v>
      </c>
      <c r="I24" s="31" t="n">
        <v>61</v>
      </c>
      <c r="J24" s="31" t="n">
        <v>35</v>
      </c>
      <c r="K24" s="0" t="s">
        <v>1359</v>
      </c>
      <c r="L24" s="30" t="n">
        <v>62</v>
      </c>
      <c r="M24" s="30" t="n">
        <v>806</v>
      </c>
      <c r="N24" s="0" t="s">
        <v>1493</v>
      </c>
      <c r="O24" s="0" t="s">
        <v>1359</v>
      </c>
      <c r="P24" s="0" t="s">
        <v>786</v>
      </c>
      <c r="Q24" s="0" t="n">
        <v>1</v>
      </c>
      <c r="R24" s="0" t="s">
        <v>1494</v>
      </c>
      <c r="S24" s="0" t="s">
        <v>1480</v>
      </c>
      <c r="T24" s="0" t="s">
        <v>1484</v>
      </c>
    </row>
  </sheetData>
  <autoFilter ref="A4:T24"/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11" min="3" style="0" width="28"/>
    <col collapsed="false" customWidth="true" hidden="false" outlineLevel="0" max="12" min="12" style="0" width="18"/>
    <col collapsed="false" customWidth="true" hidden="false" outlineLevel="0" max="14" min="13" style="0" width="28"/>
  </cols>
  <sheetData>
    <row r="1" customFormat="false" ht="17.35" hidden="false" customHeight="false" outlineLevel="0" collapsed="false">
      <c r="A1" s="4" t="s">
        <v>1495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customFormat="false" ht="15" hidden="false" customHeight="false" outlineLevel="0" collapsed="false">
      <c r="A2" s="28" t="s">
        <v>1496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4" customFormat="false" ht="15" hidden="false" customHeight="false" outlineLevel="0" collapsed="false">
      <c r="A4" s="32" t="s">
        <v>651</v>
      </c>
      <c r="B4" s="32" t="s">
        <v>1415</v>
      </c>
      <c r="C4" s="32" t="s">
        <v>1497</v>
      </c>
      <c r="D4" s="32" t="s">
        <v>654</v>
      </c>
      <c r="E4" s="32" t="s">
        <v>1498</v>
      </c>
      <c r="F4" s="32" t="s">
        <v>1499</v>
      </c>
      <c r="G4" s="32" t="s">
        <v>1500</v>
      </c>
      <c r="H4" s="32" t="s">
        <v>1501</v>
      </c>
      <c r="I4" s="32" t="s">
        <v>1502</v>
      </c>
      <c r="J4" s="32" t="s">
        <v>1503</v>
      </c>
      <c r="K4" s="32" t="s">
        <v>1504</v>
      </c>
      <c r="L4" s="32" t="s">
        <v>1505</v>
      </c>
      <c r="M4" s="32" t="s">
        <v>657</v>
      </c>
      <c r="N4" s="32" t="s">
        <v>660</v>
      </c>
    </row>
    <row r="5" customFormat="false" ht="15" hidden="false" customHeight="false" outlineLevel="0" collapsed="false">
      <c r="A5" s="0" t="str">
        <f aca="false">'Control Center'!A5</f>
        <v>SCN-001</v>
      </c>
      <c r="B5" s="0" t="str">
        <f aca="false">'Control Center'!B5</f>
        <v>Clean baseline interior</v>
      </c>
      <c r="C5" s="0" t="n">
        <f aca="false">IF('Control Center'!C5=0,10,IF('Control Center'!C5&lt;250,10,IF('Control Center'!C5&lt;750,20,IF('Control Center'!C5&lt;1500,30,40))))</f>
        <v>10</v>
      </c>
      <c r="D5" s="33" t="n">
        <f aca="false">IFERROR('Control Center'!C5/'Control Center'!D5,"")</f>
        <v>0.122222222222222</v>
      </c>
      <c r="E5" s="0" t="n">
        <f aca="false">IF(D5="",10,IF(D5&lt;0.5,10,IF(D5&lt;1,20,IF(D5&lt;2,30,40))))</f>
        <v>10</v>
      </c>
      <c r="F5" s="0" t="n">
        <f aca="false">IF('Control Center'!F5="Yes",20,IF('Control Center'!F5="Unknown",10,0))</f>
        <v>0</v>
      </c>
      <c r="G5" s="0" t="n">
        <f aca="false">IF('Control Center'!G5="Yes",15,IF('Control Center'!G5="Unknown",8,0))</f>
        <v>0</v>
      </c>
      <c r="H5" s="0" t="n">
        <f aca="false">IF('Control Center'!H5="Yes",15,IF('Control Center'!H5="Unknown",8,0))</f>
        <v>0</v>
      </c>
      <c r="I5" s="0" t="n">
        <f aca="false">IF('Control Center'!I5="Yes",15,IF('Control Center'!I5="Unknown",8,0))</f>
        <v>0</v>
      </c>
      <c r="J5" s="0" t="n">
        <f aca="false">IF('Control Center'!J5&lt;50,0,IF('Control Center'!J5&lt;60,5,IF('Control Center'!J5&lt;70,10,15)))</f>
        <v>0</v>
      </c>
      <c r="K5" s="0" t="n">
        <f aca="false">IF('Control Center'!K5="Sensitive",10,5)</f>
        <v>5</v>
      </c>
      <c r="L5" s="0" t="n">
        <f aca="false">SUM(C5:K5)</f>
        <v>25.1222222222222</v>
      </c>
      <c r="M5" s="0" t="str">
        <f aca="false">IF(L5&lt;25,"Low",IF(L5&lt;50,"Guarded",IF(L5&lt;75,"Elevated","High Concern")))</f>
        <v>Guarded</v>
      </c>
      <c r="N5" s="0" t="str">
        <f aca="false">IF(M5="Low","Educate / monitor",IF(M5="Guarded","Reduce moisture / recheck",IF(M5="Elevated","Professional inspection","Contain area + professional inspection")))</f>
        <v>Reduce moisture / recheck</v>
      </c>
    </row>
    <row r="6" customFormat="false" ht="15" hidden="false" customHeight="false" outlineLevel="0" collapsed="false">
      <c r="A6" s="0" t="str">
        <f aca="false">'Control Center'!A6</f>
        <v>SCN-002</v>
      </c>
      <c r="B6" s="0" t="str">
        <f aca="false">'Control Center'!B6</f>
        <v>Possible bathroom amplification</v>
      </c>
      <c r="C6" s="0" t="n">
        <f aca="false">IF('Control Center'!C6=0,10,IF('Control Center'!C6&lt;250,10,IF('Control Center'!C6&lt;750,20,IF('Control Center'!C6&lt;1500,30,40))))</f>
        <v>30</v>
      </c>
      <c r="D6" s="33" t="n">
        <f aca="false">IFERROR('Control Center'!C6/'Control Center'!D6,"")</f>
        <v>0.426966292134831</v>
      </c>
      <c r="E6" s="0" t="n">
        <f aca="false">IF(D6="",10,IF(D6&lt;0.5,10,IF(D6&lt;1,20,IF(D6&lt;2,30,40))))</f>
        <v>10</v>
      </c>
      <c r="F6" s="0" t="n">
        <f aca="false">IF('Control Center'!F6="Yes",20,IF('Control Center'!F6="Unknown",10,0))</f>
        <v>20</v>
      </c>
      <c r="G6" s="0" t="n">
        <f aca="false">IF('Control Center'!G6="Yes",15,IF('Control Center'!G6="Unknown",8,0))</f>
        <v>15</v>
      </c>
      <c r="H6" s="0" t="n">
        <f aca="false">IF('Control Center'!H6="Yes",15,IF('Control Center'!H6="Unknown",8,0))</f>
        <v>15</v>
      </c>
      <c r="I6" s="0" t="n">
        <f aca="false">IF('Control Center'!I6="Yes",15,IF('Control Center'!I6="Unknown",8,0))</f>
        <v>15</v>
      </c>
      <c r="J6" s="0" t="n">
        <f aca="false">IF('Control Center'!J6&lt;50,0,IF('Control Center'!J6&lt;60,5,IF('Control Center'!J6&lt;70,10,15)))</f>
        <v>10</v>
      </c>
      <c r="K6" s="0" t="n">
        <f aca="false">IF('Control Center'!K6="Sensitive",10,5)</f>
        <v>10</v>
      </c>
      <c r="L6" s="0" t="n">
        <f aca="false">SUM(C6:K6)</f>
        <v>125.426966292135</v>
      </c>
      <c r="M6" s="0" t="str">
        <f aca="false">IF(L6&lt;25,"Low",IF(L6&lt;50,"Guarded",IF(L6&lt;75,"Elevated","High Concern")))</f>
        <v>High Concern</v>
      </c>
      <c r="N6" s="0" t="str">
        <f aca="false">IF(M6="Low","Educate / monitor",IF(M6="Guarded","Reduce moisture / recheck",IF(M6="Elevated","Professional inspection","Contain area + professional inspection")))</f>
        <v>Contain area + professional inspection</v>
      </c>
    </row>
    <row r="7" customFormat="false" ht="15" hidden="false" customHeight="false" outlineLevel="0" collapsed="false">
      <c r="A7" s="0" t="str">
        <f aca="false">'Control Center'!A7</f>
        <v>SCN-003</v>
      </c>
      <c r="B7" s="0" t="str">
        <f aca="false">'Control Center'!B7</f>
        <v>High concern water-damage pattern</v>
      </c>
      <c r="C7" s="0" t="n">
        <f aca="false">IF('Control Center'!C7=0,10,IF('Control Center'!C7&lt;250,10,IF('Control Center'!C7&lt;750,20,IF('Control Center'!C7&lt;1500,30,40))))</f>
        <v>40</v>
      </c>
      <c r="D7" s="33" t="n">
        <f aca="false">IFERROR('Control Center'!C7/'Control Center'!D7,"")</f>
        <v>1.3497855881611</v>
      </c>
      <c r="E7" s="0" t="n">
        <f aca="false">IF(D7="",10,IF(D7&lt;0.5,10,IF(D7&lt;1,20,IF(D7&lt;2,30,40))))</f>
        <v>30</v>
      </c>
      <c r="F7" s="0" t="n">
        <f aca="false">IF('Control Center'!F7="Yes",20,IF('Control Center'!F7="Unknown",10,0))</f>
        <v>20</v>
      </c>
      <c r="G7" s="0" t="n">
        <f aca="false">IF('Control Center'!G7="Yes",15,IF('Control Center'!G7="Unknown",8,0))</f>
        <v>15</v>
      </c>
      <c r="H7" s="0" t="n">
        <f aca="false">IF('Control Center'!H7="Yes",15,IF('Control Center'!H7="Unknown",8,0))</f>
        <v>15</v>
      </c>
      <c r="I7" s="0" t="n">
        <f aca="false">IF('Control Center'!I7="Yes",15,IF('Control Center'!I7="Unknown",8,0))</f>
        <v>15</v>
      </c>
      <c r="J7" s="0" t="n">
        <f aca="false">IF('Control Center'!J7&lt;50,0,IF('Control Center'!J7&lt;60,5,IF('Control Center'!J7&lt;70,10,15)))</f>
        <v>15</v>
      </c>
      <c r="K7" s="0" t="n">
        <f aca="false">IF('Control Center'!K7="Sensitive",10,5)</f>
        <v>10</v>
      </c>
      <c r="L7" s="0" t="n">
        <f aca="false">SUM(C7:K7)</f>
        <v>161.349785588161</v>
      </c>
      <c r="M7" s="0" t="str">
        <f aca="false">IF(L7&lt;25,"Low",IF(L7&lt;50,"Guarded",IF(L7&lt;75,"Elevated","High Concern")))</f>
        <v>High Concern</v>
      </c>
      <c r="N7" s="0" t="str">
        <f aca="false">IF(M7="Low","Educate / monitor",IF(M7="Guarded","Reduce moisture / recheck",IF(M7="Elevated","Professional inspection","Contain area + professional inspection")))</f>
        <v>Contain area + professional inspection</v>
      </c>
    </row>
    <row r="8" customFormat="false" ht="15" hidden="false" customHeight="false" outlineLevel="0" collapsed="false">
      <c r="A8" s="0" t="str">
        <f aca="false">'Control Center'!A8</f>
        <v>SCN-004</v>
      </c>
      <c r="B8" s="0" t="str">
        <f aca="false">'Control Center'!B8</f>
        <v>Humidity-driven but low visible concern</v>
      </c>
      <c r="C8" s="0" t="n">
        <f aca="false">IF('Control Center'!C8=0,10,IF('Control Center'!C8&lt;250,10,IF('Control Center'!C8&lt;750,20,IF('Control Center'!C8&lt;1500,30,40))))</f>
        <v>20</v>
      </c>
      <c r="D8" s="33" t="n">
        <f aca="false">IFERROR('Control Center'!C8/'Control Center'!D8,"")</f>
        <v>0.472727272727273</v>
      </c>
      <c r="E8" s="0" t="n">
        <f aca="false">IF(D8="",10,IF(D8&lt;0.5,10,IF(D8&lt;1,20,IF(D8&lt;2,30,40))))</f>
        <v>10</v>
      </c>
      <c r="F8" s="0" t="n">
        <f aca="false">IF('Control Center'!F8="Yes",20,IF('Control Center'!F8="Unknown",10,0))</f>
        <v>0</v>
      </c>
      <c r="G8" s="0" t="n">
        <f aca="false">IF('Control Center'!G8="Yes",15,IF('Control Center'!G8="Unknown",8,0))</f>
        <v>0</v>
      </c>
      <c r="H8" s="0" t="n">
        <f aca="false">IF('Control Center'!H8="Yes",15,IF('Control Center'!H8="Unknown",8,0))</f>
        <v>0</v>
      </c>
      <c r="I8" s="0" t="n">
        <f aca="false">IF('Control Center'!I8="Yes",15,IF('Control Center'!I8="Unknown",8,0))</f>
        <v>0</v>
      </c>
      <c r="J8" s="0" t="n">
        <f aca="false">IF('Control Center'!J8&lt;50,0,IF('Control Center'!J8&lt;60,5,IF('Control Center'!J8&lt;70,10,15)))</f>
        <v>10</v>
      </c>
      <c r="K8" s="0" t="n">
        <f aca="false">IF('Control Center'!K8="Sensitive",10,5)</f>
        <v>5</v>
      </c>
      <c r="L8" s="0" t="n">
        <f aca="false">SUM(C8:K8)</f>
        <v>45.4727272727273</v>
      </c>
      <c r="M8" s="0" t="str">
        <f aca="false">IF(L8&lt;25,"Low",IF(L8&lt;50,"Guarded",IF(L8&lt;75,"Elevated","High Concern")))</f>
        <v>Guarded</v>
      </c>
      <c r="N8" s="0" t="str">
        <f aca="false">IF(M8="Low","Educate / monitor",IF(M8="Guarded","Reduce moisture / recheck",IF(M8="Elevated","Professional inspection","Contain area + professional inspection")))</f>
        <v>Reduce moisture / recheck</v>
      </c>
    </row>
    <row r="9" customFormat="false" ht="15" hidden="false" customHeight="false" outlineLevel="0" collapsed="false">
      <c r="A9" s="0" t="str">
        <f aca="false">'Control Center'!A9</f>
        <v>SCN-005</v>
      </c>
      <c r="B9" s="0" t="str">
        <f aca="false">'Control Center'!B9</f>
        <v>Questionable photo-only colony</v>
      </c>
      <c r="C9" s="0" t="n">
        <f aca="false">IF('Control Center'!C9=0,10,IF('Control Center'!C9&lt;250,10,IF('Control Center'!C9&lt;750,20,IF('Control Center'!C9&lt;1500,30,40))))</f>
        <v>10</v>
      </c>
      <c r="D9" s="33" t="str">
        <f aca="false">IFERROR('Control Center'!C9/'Control Center'!D9,"")</f>
        <v/>
      </c>
      <c r="E9" s="0" t="n">
        <f aca="false">IF(D9="",10,IF(D9&lt;0.5,10,IF(D9&lt;1,20,IF(D9&lt;2,30,40))))</f>
        <v>10</v>
      </c>
      <c r="F9" s="0" t="n">
        <f aca="false">IF('Control Center'!F9="Yes",20,IF('Control Center'!F9="Unknown",10,0))</f>
        <v>0</v>
      </c>
      <c r="G9" s="0" t="n">
        <f aca="false">IF('Control Center'!G9="Yes",15,IF('Control Center'!G9="Unknown",8,0))</f>
        <v>8</v>
      </c>
      <c r="H9" s="0" t="n">
        <f aca="false">IF('Control Center'!H9="Yes",15,IF('Control Center'!H9="Unknown",8,0))</f>
        <v>15</v>
      </c>
      <c r="I9" s="0" t="n">
        <f aca="false">IF('Control Center'!I9="Yes",15,IF('Control Center'!I9="Unknown",8,0))</f>
        <v>8</v>
      </c>
      <c r="J9" s="0" t="n">
        <f aca="false">IF('Control Center'!J9&lt;50,0,IF('Control Center'!J9&lt;60,5,IF('Control Center'!J9&lt;70,10,15)))</f>
        <v>10</v>
      </c>
      <c r="K9" s="0" t="n">
        <f aca="false">IF('Control Center'!K9="Sensitive",10,5)</f>
        <v>10</v>
      </c>
      <c r="L9" s="0" t="n">
        <f aca="false">SUM(C9:K9)</f>
        <v>71</v>
      </c>
      <c r="M9" s="0" t="str">
        <f aca="false">IF(L9&lt;25,"Low",IF(L9&lt;50,"Guarded",IF(L9&lt;75,"Elevated","High Concern")))</f>
        <v>Elevated</v>
      </c>
      <c r="N9" s="0" t="str">
        <f aca="false">IF(M9="Low","Educate / monitor",IF(M9="Guarded","Reduce moisture / recheck",IF(M9="Elevated","Professional inspection","Contain area + professional inspection")))</f>
        <v>Professional inspection</v>
      </c>
    </row>
  </sheetData>
  <autoFilter ref="A4:N9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6" min="4" style="0" width="18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21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18"/>
    <col collapsed="false" customWidth="true" hidden="false" outlineLevel="0" max="13" min="13" style="0" width="15"/>
    <col collapsed="false" customWidth="true" hidden="false" outlineLevel="0" max="14" min="14" style="0" width="26"/>
    <col collapsed="false" customWidth="true" hidden="false" outlineLevel="0" max="16" min="15" style="0" width="22"/>
    <col collapsed="false" customWidth="true" hidden="false" outlineLevel="0" max="17" min="17" style="0" width="26"/>
    <col collapsed="false" customWidth="true" hidden="false" outlineLevel="0" max="18" min="18" style="0" width="21"/>
    <col collapsed="false" customWidth="true" hidden="false" outlineLevel="0" max="19" min="19" style="0" width="24"/>
    <col collapsed="false" customWidth="true" hidden="false" outlineLevel="0" max="20" min="20" style="0" width="26"/>
  </cols>
  <sheetData>
    <row r="1" customFormat="false" ht="17.35" hidden="false" customHeight="false" outlineLevel="0" collapsed="false">
      <c r="A1" s="4" t="s">
        <v>1506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customFormat="false" ht="15" hidden="false" customHeight="false" outlineLevel="0" collapsed="false">
      <c r="A2" s="28" t="s">
        <v>1507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4" customFormat="false" ht="28.35" hidden="false" customHeight="false" outlineLevel="0" collapsed="false">
      <c r="A4" s="34" t="s">
        <v>1508</v>
      </c>
      <c r="B4" s="34" t="s">
        <v>1509</v>
      </c>
      <c r="C4" s="34" t="s">
        <v>1510</v>
      </c>
      <c r="D4" s="34" t="s">
        <v>1511</v>
      </c>
      <c r="E4" s="34" t="s">
        <v>1512</v>
      </c>
      <c r="F4" s="34" t="s">
        <v>1513</v>
      </c>
      <c r="G4" s="34" t="s">
        <v>1514</v>
      </c>
      <c r="H4" s="34" t="s">
        <v>581</v>
      </c>
      <c r="I4" s="34" t="s">
        <v>1515</v>
      </c>
      <c r="J4" s="34" t="s">
        <v>1516</v>
      </c>
      <c r="K4" s="34" t="s">
        <v>1517</v>
      </c>
      <c r="L4" s="34" t="s">
        <v>1423</v>
      </c>
      <c r="M4" s="34" t="s">
        <v>1450</v>
      </c>
      <c r="N4" s="34" t="s">
        <v>1518</v>
      </c>
      <c r="O4" s="34" t="s">
        <v>1519</v>
      </c>
      <c r="P4" s="34" t="s">
        <v>1520</v>
      </c>
      <c r="Q4" s="34" t="s">
        <v>1521</v>
      </c>
      <c r="R4" s="34" t="s">
        <v>1522</v>
      </c>
      <c r="S4" s="34" t="s">
        <v>1523</v>
      </c>
      <c r="T4" s="34" t="s">
        <v>1524</v>
      </c>
    </row>
    <row r="5" customFormat="false" ht="15" hidden="false" customHeight="false" outlineLevel="0" collapsed="false">
      <c r="A5" s="0" t="s">
        <v>1525</v>
      </c>
      <c r="B5" s="0" t="s">
        <v>1526</v>
      </c>
      <c r="C5" s="0" t="s">
        <v>998</v>
      </c>
      <c r="D5" s="0" t="s">
        <v>1527</v>
      </c>
      <c r="E5" s="0" t="s">
        <v>1081</v>
      </c>
      <c r="F5" s="0" t="s">
        <v>1528</v>
      </c>
      <c r="G5" s="0" t="s">
        <v>1529</v>
      </c>
      <c r="H5" s="0" t="s">
        <v>1530</v>
      </c>
      <c r="I5" s="0" t="n">
        <v>6</v>
      </c>
      <c r="J5" s="0" t="s">
        <v>1089</v>
      </c>
      <c r="K5" s="0" t="s">
        <v>1089</v>
      </c>
      <c r="L5" s="0" t="n">
        <v>69</v>
      </c>
      <c r="M5" s="0" t="n">
        <v>68</v>
      </c>
      <c r="N5" s="0" t="s">
        <v>1089</v>
      </c>
      <c r="O5" s="0" t="s">
        <v>1075</v>
      </c>
      <c r="P5" s="0" t="s">
        <v>1075</v>
      </c>
      <c r="Q5" s="0" t="s">
        <v>1531</v>
      </c>
      <c r="R5" s="0" t="s">
        <v>1089</v>
      </c>
      <c r="S5" s="0" t="s">
        <v>1532</v>
      </c>
      <c r="T5" s="0" t="s">
        <v>1533</v>
      </c>
    </row>
    <row r="6" customFormat="false" ht="15" hidden="false" customHeight="false" outlineLevel="0" collapsed="false">
      <c r="A6" s="0" t="s">
        <v>1534</v>
      </c>
      <c r="B6" s="0" t="s">
        <v>1535</v>
      </c>
      <c r="C6" s="0" t="s">
        <v>1022</v>
      </c>
      <c r="D6" s="0" t="s">
        <v>1536</v>
      </c>
      <c r="E6" s="0" t="s">
        <v>1537</v>
      </c>
      <c r="F6" s="0" t="s">
        <v>1538</v>
      </c>
      <c r="G6" s="0" t="s">
        <v>1539</v>
      </c>
      <c r="H6" s="0" t="s">
        <v>1540</v>
      </c>
      <c r="I6" s="0" t="n">
        <v>1</v>
      </c>
      <c r="J6" s="0" t="s">
        <v>1075</v>
      </c>
      <c r="K6" s="0" t="s">
        <v>1075</v>
      </c>
      <c r="L6" s="0" t="n">
        <v>52</v>
      </c>
      <c r="M6" s="0" t="n">
        <v>70</v>
      </c>
      <c r="N6" s="0" t="s">
        <v>1075</v>
      </c>
      <c r="O6" s="0" t="s">
        <v>1075</v>
      </c>
      <c r="P6" s="0" t="s">
        <v>1075</v>
      </c>
      <c r="Q6" s="0" t="s">
        <v>1541</v>
      </c>
      <c r="R6" s="0" t="s">
        <v>1542</v>
      </c>
      <c r="S6" s="0" t="s">
        <v>1076</v>
      </c>
      <c r="T6" s="0" t="s">
        <v>1543</v>
      </c>
    </row>
  </sheetData>
  <autoFilter ref="A4:T6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9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7" min="6" style="0" width="28"/>
    <col collapsed="false" customWidth="true" hidden="false" outlineLevel="0" max="8" min="8" style="0" width="21"/>
    <col collapsed="false" customWidth="true" hidden="false" outlineLevel="0" max="9" min="9" style="0" width="28"/>
    <col collapsed="false" customWidth="true" hidden="false" outlineLevel="0" max="10" min="10" style="0" width="15"/>
  </cols>
  <sheetData>
    <row r="1" customFormat="false" ht="17.35" hidden="false" customHeight="false" outlineLevel="0" collapsed="false">
      <c r="A1" s="4" t="s">
        <v>1544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15" hidden="false" customHeight="false" outlineLevel="0" collapsed="false">
      <c r="A2" s="28" t="s">
        <v>1545</v>
      </c>
      <c r="B2" s="28"/>
      <c r="C2" s="28"/>
      <c r="D2" s="28"/>
      <c r="E2" s="28"/>
      <c r="F2" s="28"/>
      <c r="G2" s="28"/>
      <c r="H2" s="28"/>
      <c r="I2" s="28"/>
      <c r="J2" s="28"/>
    </row>
    <row r="4" customFormat="false" ht="15" hidden="false" customHeight="false" outlineLevel="0" collapsed="false">
      <c r="A4" s="35" t="s">
        <v>1546</v>
      </c>
      <c r="B4" s="35" t="s">
        <v>1547</v>
      </c>
      <c r="C4" s="35" t="s">
        <v>1548</v>
      </c>
      <c r="D4" s="35" t="s">
        <v>1549</v>
      </c>
      <c r="E4" s="35" t="s">
        <v>1550</v>
      </c>
      <c r="F4" s="35" t="s">
        <v>1551</v>
      </c>
      <c r="G4" s="35" t="s">
        <v>1552</v>
      </c>
      <c r="H4" s="35" t="s">
        <v>1553</v>
      </c>
      <c r="I4" s="35" t="s">
        <v>1524</v>
      </c>
      <c r="J4" s="35" t="s">
        <v>1554</v>
      </c>
    </row>
    <row r="5" customFormat="false" ht="15" hidden="false" customHeight="false" outlineLevel="0" collapsed="false">
      <c r="A5" s="0" t="s">
        <v>1555</v>
      </c>
      <c r="B5" s="0" t="s">
        <v>1508</v>
      </c>
      <c r="C5" s="0" t="s">
        <v>1556</v>
      </c>
      <c r="D5" s="0" t="s">
        <v>1557</v>
      </c>
      <c r="E5" s="0" t="s">
        <v>1089</v>
      </c>
      <c r="F5" s="0" t="s">
        <v>1558</v>
      </c>
      <c r="G5" s="0" t="s">
        <v>1525</v>
      </c>
      <c r="H5" s="0" t="s">
        <v>1559</v>
      </c>
      <c r="I5" s="0" t="s">
        <v>1560</v>
      </c>
      <c r="J5" s="0" t="s">
        <v>1561</v>
      </c>
    </row>
    <row r="6" customFormat="false" ht="15" hidden="false" customHeight="false" outlineLevel="0" collapsed="false">
      <c r="A6" s="0" t="s">
        <v>1555</v>
      </c>
      <c r="B6" s="0" t="s">
        <v>1509</v>
      </c>
      <c r="C6" s="0" t="s">
        <v>1562</v>
      </c>
      <c r="D6" s="0" t="s">
        <v>1557</v>
      </c>
      <c r="E6" s="0" t="s">
        <v>1089</v>
      </c>
      <c r="F6" s="0" t="s">
        <v>1563</v>
      </c>
      <c r="G6" s="0" t="s">
        <v>1526</v>
      </c>
      <c r="H6" s="0" t="s">
        <v>1564</v>
      </c>
      <c r="I6" s="0" t="s">
        <v>1565</v>
      </c>
      <c r="J6" s="0" t="s">
        <v>1561</v>
      </c>
    </row>
    <row r="7" customFormat="false" ht="15" hidden="false" customHeight="false" outlineLevel="0" collapsed="false">
      <c r="A7" s="0" t="s">
        <v>1555</v>
      </c>
      <c r="B7" s="0" t="s">
        <v>1423</v>
      </c>
      <c r="C7" s="0" t="s">
        <v>1566</v>
      </c>
      <c r="D7" s="0" t="s">
        <v>1567</v>
      </c>
      <c r="E7" s="0" t="s">
        <v>1075</v>
      </c>
      <c r="F7" s="0" t="s">
        <v>1568</v>
      </c>
      <c r="G7" s="0" t="n">
        <v>69</v>
      </c>
      <c r="H7" s="0" t="s">
        <v>1569</v>
      </c>
      <c r="I7" s="0" t="s">
        <v>1570</v>
      </c>
      <c r="J7" s="0" t="s">
        <v>1571</v>
      </c>
    </row>
    <row r="8" customFormat="false" ht="15" hidden="false" customHeight="false" outlineLevel="0" collapsed="false">
      <c r="A8" s="0" t="s">
        <v>1572</v>
      </c>
      <c r="B8" s="0" t="s">
        <v>0</v>
      </c>
      <c r="C8" s="0" t="s">
        <v>1573</v>
      </c>
      <c r="D8" s="0" t="s">
        <v>1557</v>
      </c>
      <c r="E8" s="0" t="s">
        <v>1089</v>
      </c>
      <c r="F8" s="0" t="s">
        <v>1574</v>
      </c>
      <c r="G8" s="0" t="s">
        <v>1</v>
      </c>
      <c r="H8" s="0" t="s">
        <v>1575</v>
      </c>
      <c r="I8" s="0" t="s">
        <v>1576</v>
      </c>
      <c r="J8" s="0" t="s">
        <v>1577</v>
      </c>
    </row>
    <row r="9" customFormat="false" ht="15" hidden="false" customHeight="false" outlineLevel="0" collapsed="false">
      <c r="A9" s="0" t="s">
        <v>1572</v>
      </c>
      <c r="B9" s="0" t="s">
        <v>1453</v>
      </c>
      <c r="C9" s="0" t="s">
        <v>1578</v>
      </c>
      <c r="D9" s="0" t="s">
        <v>1557</v>
      </c>
      <c r="E9" s="0" t="s">
        <v>1089</v>
      </c>
      <c r="F9" s="0" t="s">
        <v>1579</v>
      </c>
      <c r="G9" s="0" t="s">
        <v>665</v>
      </c>
      <c r="H9" s="0" t="s">
        <v>1575</v>
      </c>
      <c r="I9" s="0" t="s">
        <v>1580</v>
      </c>
      <c r="J9" s="0" t="s">
        <v>1577</v>
      </c>
    </row>
    <row r="10" customFormat="false" ht="15" hidden="false" customHeight="false" outlineLevel="0" collapsed="false">
      <c r="A10" s="0" t="s">
        <v>1581</v>
      </c>
      <c r="B10" s="0" t="s">
        <v>1505</v>
      </c>
      <c r="C10" s="0" t="s">
        <v>1582</v>
      </c>
      <c r="D10" s="0" t="s">
        <v>1567</v>
      </c>
      <c r="E10" s="0" t="s">
        <v>1089</v>
      </c>
      <c r="F10" s="0" t="s">
        <v>1583</v>
      </c>
      <c r="G10" s="0" t="n">
        <v>82</v>
      </c>
      <c r="H10" s="0" t="s">
        <v>1584</v>
      </c>
      <c r="I10" s="0" t="s">
        <v>1585</v>
      </c>
      <c r="J10" s="0" t="s">
        <v>1586</v>
      </c>
    </row>
    <row r="11" customFormat="false" ht="15" hidden="false" customHeight="false" outlineLevel="0" collapsed="false">
      <c r="A11" s="0" t="s">
        <v>1581</v>
      </c>
      <c r="B11" s="0" t="s">
        <v>657</v>
      </c>
      <c r="C11" s="0" t="s">
        <v>1587</v>
      </c>
      <c r="D11" s="0" t="s">
        <v>1557</v>
      </c>
      <c r="E11" s="0" t="s">
        <v>1089</v>
      </c>
      <c r="F11" s="0" t="s">
        <v>1588</v>
      </c>
      <c r="G11" s="0" t="s">
        <v>798</v>
      </c>
      <c r="H11" s="0" t="s">
        <v>1584</v>
      </c>
      <c r="I11" s="0" t="s">
        <v>1589</v>
      </c>
      <c r="J11" s="0" t="s">
        <v>1586</v>
      </c>
    </row>
    <row r="12" customFormat="false" ht="15" hidden="false" customHeight="false" outlineLevel="0" collapsed="false">
      <c r="A12" s="0" t="s">
        <v>1581</v>
      </c>
      <c r="B12" s="0" t="s">
        <v>660</v>
      </c>
      <c r="C12" s="0" t="s">
        <v>1590</v>
      </c>
      <c r="D12" s="0" t="s">
        <v>1557</v>
      </c>
      <c r="E12" s="0" t="s">
        <v>1089</v>
      </c>
      <c r="F12" s="0" t="s">
        <v>1591</v>
      </c>
      <c r="G12" s="0" t="s">
        <v>1592</v>
      </c>
      <c r="H12" s="0" t="s">
        <v>1584</v>
      </c>
      <c r="I12" s="0" t="s">
        <v>1593</v>
      </c>
      <c r="J12" s="0" t="s">
        <v>1586</v>
      </c>
    </row>
    <row r="13" customFormat="false" ht="15" hidden="false" customHeight="false" outlineLevel="0" collapsed="false">
      <c r="A13" s="0" t="s">
        <v>1594</v>
      </c>
      <c r="B13" s="0" t="s">
        <v>1452</v>
      </c>
      <c r="C13" s="0" t="s">
        <v>1595</v>
      </c>
      <c r="D13" s="0" t="s">
        <v>1567</v>
      </c>
      <c r="E13" s="0" t="s">
        <v>1075</v>
      </c>
      <c r="F13" s="0" t="s">
        <v>1596</v>
      </c>
      <c r="G13" s="0" t="n">
        <v>247</v>
      </c>
      <c r="H13" s="0" t="s">
        <v>1597</v>
      </c>
      <c r="I13" s="0" t="s">
        <v>1598</v>
      </c>
      <c r="J13" s="0" t="s">
        <v>1577</v>
      </c>
    </row>
    <row r="14" customFormat="false" ht="15" hidden="false" customHeight="false" outlineLevel="0" collapsed="false">
      <c r="A14" s="0" t="s">
        <v>645</v>
      </c>
      <c r="B14" s="0" t="s">
        <v>1599</v>
      </c>
      <c r="C14" s="0" t="s">
        <v>1600</v>
      </c>
      <c r="D14" s="0" t="s">
        <v>1557</v>
      </c>
      <c r="E14" s="0" t="s">
        <v>1075</v>
      </c>
      <c r="F14" s="0" t="s">
        <v>1601</v>
      </c>
      <c r="G14" s="0" t="s">
        <v>1602</v>
      </c>
      <c r="H14" s="0" t="s">
        <v>1597</v>
      </c>
      <c r="I14" s="0" t="s">
        <v>1603</v>
      </c>
      <c r="J14" s="0" t="s">
        <v>1604</v>
      </c>
    </row>
  </sheetData>
  <autoFilter ref="A4:J14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2026-03-13T15:11:52Z</dcterms:created>
  <dc:creator>openpyxl</dc:creator>
  <dc:description/>
  <dc:language>en-US</dc:language>
  <cp:lastModifiedBy/>
  <dcterms:modified xsi:type="dcterms:W3CDTF">2026-03-30T14:20:00Z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