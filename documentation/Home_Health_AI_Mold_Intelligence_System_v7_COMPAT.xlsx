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2.xml" ContentType="application/vnd.openxmlformats-officedocument.spreadsheetml.comments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comments3.xml" ContentType="application/vnd.openxmlformats-officedocument.spreadsheetml.comments+xml"/>
  <Override PartName="/xl/worksheets/sheet17.xml" ContentType="application/vnd.openxmlformats-officedocument.spreadsheetml.worksheet+xml"/>
  <Override PartName="/xl/comments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5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2617c39fa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ld_species_dataset" sheetId="1" r:id="Ra96059360d3e40ef"/>
    <x:sheet xmlns:r="http://schemas.openxmlformats.org/officeDocument/2006/relationships" name="Summary" sheetId="2" r:id="R13c019253b5244e3"/>
    <x:sheet xmlns:r="http://schemas.openxmlformats.org/officeDocument/2006/relationships" name="AI Early Detection Signs" sheetId="3" r:id="R033ec3f7f18b43b9"/>
    <x:sheet xmlns:r="http://schemas.openxmlformats.org/officeDocument/2006/relationships" name="Cleaning Agents" sheetId="4" r:id="R57f4f0b9a38a4087"/>
    <x:sheet xmlns:r="http://schemas.openxmlformats.org/officeDocument/2006/relationships" name="Data Dictionary" sheetId="5" r:id="Re79d36865bbf471c"/>
    <x:sheet xmlns:r="http://schemas.openxmlformats.org/officeDocument/2006/relationships" name="Core Mold Logic" sheetId="6" r:id="Re5baac487a084919"/>
    <x:sheet xmlns:r="http://schemas.openxmlformats.org/officeDocument/2006/relationships" name="Interpretation Examples" sheetId="7" r:id="R773d299f9c024ad4"/>
    <x:sheet xmlns:r="http://schemas.openxmlformats.org/officeDocument/2006/relationships" name="AI Decision Tree" sheetId="8" r:id="Rc7c3fbc8302d4b9f"/>
    <x:sheet xmlns:r="http://schemas.openxmlformats.org/officeDocument/2006/relationships" name="Risk Scoring Model" sheetId="9" r:id="Rc5beefb8cea84213"/>
    <x:sheet xmlns:r="http://schemas.openxmlformats.org/officeDocument/2006/relationships" name="Inspection Language" sheetId="10" r:id="R6229900a48c340e8"/>
    <x:sheet xmlns:r="http://schemas.openxmlformats.org/officeDocument/2006/relationships" name="Moisture Source Classification" sheetId="11" r:id="Rd38fbf1f6bbf45f8"/>
    <x:sheet xmlns:r="http://schemas.openxmlformats.org/officeDocument/2006/relationships" name="Room Inspection Logic" sheetId="12" r:id="Rcbb26396659346da"/>
    <x:sheet xmlns:r="http://schemas.openxmlformats.org/officeDocument/2006/relationships" name="Remediation Framework" sheetId="13" r:id="R6d588eb0cd964e21"/>
    <x:sheet xmlns:r="http://schemas.openxmlformats.org/officeDocument/2006/relationships" name="Image Label Taxonomy" sheetId="14" r:id="Redad032b60104db3"/>
    <x:sheet xmlns:r="http://schemas.openxmlformats.org/officeDocument/2006/relationships" name="Training Annotation Template" sheetId="15" r:id="Rf0d5aacec2d541a0"/>
    <x:sheet xmlns:r="http://schemas.openxmlformats.org/officeDocument/2006/relationships" name="Lab Interpretation Rules" sheetId="16" r:id="R3b41cd725e414d5b"/>
    <x:sheet xmlns:r="http://schemas.openxmlformats.org/officeDocument/2006/relationships" name="Lab Sample Examples" sheetId="17" r:id="R119a4c30dc7a4e20"/>
    <x:sheet xmlns:r="http://schemas.openxmlformats.org/officeDocument/2006/relationships" name="Control Center" sheetId="18" r:id="R77dc6b6b4668403f"/>
    <x:sheet xmlns:r="http://schemas.openxmlformats.org/officeDocument/2006/relationships" name="Real Lab Data Training" sheetId="19" r:id="R2357f8a986484335"/>
    <x:sheet xmlns:r="http://schemas.openxmlformats.org/officeDocument/2006/relationships" name="IAQ Scoring Engine" sheetId="20" r:id="R146cdae7f985496b"/>
    <x:sheet xmlns:r="http://schemas.openxmlformats.org/officeDocument/2006/relationships" name="Field Input Template" sheetId="21" r:id="R467a57adbbc7416d"/>
    <x:sheet xmlns:r="http://schemas.openxmlformats.org/officeDocument/2006/relationships" name="API Mapping" sheetId="22" r:id="R60494fe4ac064419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3" authorId="0">
      <x:text>
        <x:r>
          <x:t>Counts based on the main Mold Species Database sheet in this workbook.</x:t>
        </x:r>
      </x:text>
    </x:comment>
    <x:comment ref="A4" authorId="0">
      <x:text>
        <x:r>
          <x:t>Genus count uses unique genus labels derived from species_name.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D5" authorId="0">
      <x:text>
        <x:r>
          <x:t>User-editable input. Score 0=None, 1=Very low, 2=Low, 3=Moderate, 4=High, 5=Very high.</x:t>
        </x:r>
      </x:text>
    </x:comment>
    <x:comment ref="D6" authorId="0">
      <x:text>
        <x:r>
          <x:t>User-editable input. Score 0=None, 1=Very low, 2=Low, 3=Moderate, 4=High, 5=Very high.</x:t>
        </x:r>
      </x:text>
    </x:comment>
    <x:comment ref="D7" authorId="0">
      <x:text>
        <x:r>
          <x:t>User-editable input. Score 0=None, 1=Very low, 2=Low, 3=Moderate, 4=High, 5=Very high.</x:t>
        </x:r>
      </x:text>
    </x:comment>
    <x:comment ref="D8" authorId="0">
      <x:text>
        <x:r>
          <x:t>User-editable input. Score 0=None, 1=Very low, 2=Low, 3=Moderate, 4=High, 5=Very high.</x:t>
        </x:r>
      </x:text>
    </x:comment>
    <x:comment ref="D9" authorId="0">
      <x:text>
        <x:r>
          <x:t>User-editable input. Score 0=None, 1=Very low, 2=Low, 3=Moderate, 4=High, 5=Very high.</x:t>
        </x:r>
      </x:text>
    </x:comment>
    <x:comment ref="D10" authorId="0">
      <x:text>
        <x:r>
          <x:t>User-editable input. Score 0=None, 1=Very low, 2=Low, 3=Moderate, 4=High, 5=Very high.</x:t>
        </x:r>
      </x:text>
    </x:comment>
    <x:comment ref="D11" authorId="0">
      <x:text>
        <x:r>
          <x:t>User-editable input. Score 0=None, 1=Very low, 2=Low, 3=Moderate, 4=High, 5=Very high.</x:t>
        </x:r>
      </x:text>
    </x:comment>
    <x:comment ref="D12" authorId="0">
      <x:text>
        <x:r>
          <x:t>User-editable input. Score 0=None, 1=Very low, 2=Low, 3=Moderate, 4=High, 5=Very high.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F5" authorId="0">
      <x:text>
        <x:r>
          <x:t>Source: /mnt/data/Lab Information.pdf and /mnt/data/21056763_Jaunich_20211020173423.pdf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J6" authorId="0">
      <x:text>
        <x:r>
          <x:t>Sources: /mnt/data/21056763_Jaunich_20211020173423.pdf and /mnt/data/Lab Results - 1701206.pdf</x:t>
        </x:r>
      </x:text>
    </x:comment>
  </x:commentList>
</x:comments>
</file>

<file path=xl/comments5.xml><?xml version="1.0" encoding="utf-8"?>
<x:comments xmlns:x="http://schemas.openxmlformats.org/spreadsheetml/2006/main">
  <x:authors>
    <x:author>OpenAI</x:author>
  </x:authors>
  <x:commentList>
    <x:comment ref="T5" authorId="0">
      <x:text>
        <x:r>
          <x:t>Sources: /mnt/data/21056763_Jaunich_20211020173423.pdf ; /mnt/data/Lab Information.pdf ; /mnt/data/Lab Results - 1701206.pdf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"/>
    <x:numFmt numFmtId="165" formatCode="0.0%"/>
    <x:numFmt numFmtId="166" formatCode="#,##0.0"/>
    <x:numFmt numFmtId="167" formatCode="0.0x"/>
  </x:numFmts>
  <x:fonts count="11">
    <x:font>
      <x:sz val="11"/>
      <x:color theme="1"/>
      <x:name val="Calibri"/>
    </x:font>
    <x:font>
      <x:b/>
      <x:sz val="14"/>
      <x:color rgb="FFFFFF"/>
    </x:font>
    <x:font>
      <x:i/>
      <x:color rgb="666666"/>
    </x:font>
    <x:font>
      <x:b/>
    </x:font>
    <x:font>
      <x:b/>
      <x:sz val="14"/>
    </x:font>
    <x:font>
      <x:b/>
      <x:sz val="11"/>
      <x:color rgb="FFFFFF"/>
    </x:font>
    <x:font>
      <x:b/>
      <x:color rgb="0000FF"/>
    </x:font>
    <x:font/>
    <x:font>
      <x:color rgb="0000FF"/>
    </x:font>
    <x:font>
      <x:color rgb="000000"/>
    </x:font>
    <x:font>
      <x:color rgb="808080"/>
    </x:font>
  </x:fonts>
  <x:fills count="11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4DFEC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F7F9FB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  <x:fill>
      <x:patternFill patternType="solid">
        <x:fgColor rgb="D9F0F0"/>
      </x:patternFill>
    </x:fill>
  </x:fills>
  <x:borders count="6">
    <x:border/>
    <x:border>
      <x:bottom style="thin">
        <x:color rgb="BFBFBF"/>
      </x:bottom>
    </x:border>
    <x:border>
      <x:bottom style="thin">
        <x:color rgb="D0D7DE"/>
      </x:bottom>
    </x:border>
    <x:border>
      <x:bottom style="thin">
        <x:color rgb="D0D0D0"/>
      </x:bottom>
    </x:border>
    <x:border>
      <x:bottom style="thin">
        <x:color rgb="D0D0D0"/>
      </x:bottom>
    </x:border>
    <x:border>
      <x:bottom style="thin">
        <x:color rgb="D0D0D0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0" xfId="0" applyAlignment="1">
      <x:alignment horizontal="center"/>
    </x:xf>
    <x:xf numFmtId="0" fontId="2" fillId="0" borderId="0" xfId="0" applyAlignment="1">
      <x:alignment wrapText="1"/>
    </x:xf>
    <x:xf numFmtId="0" fontId="3" fillId="3" borderId="1" xfId="0" applyAlignment="1">
      <x:alignment vertical="center" wrapText="1"/>
    </x:xf>
    <x:xf numFmtId="0" fontId="0" fillId="0" borderId="0" xfId="0" applyAlignment="1">
      <x:alignment vertical="top" wrapText="1"/>
    </x:xf>
    <x:xf numFmtId="0" fontId="1" fillId="2" borderId="0" xfId="0"/>
    <x:xf numFmtId="0" fontId="3" fillId="3" borderId="0" xfId="0"/>
    <x:xf numFmtId="0" fontId="3" fillId="3" borderId="1" xfId="0" applyAlignment="1">
      <x:alignment wrapText="1"/>
    </x:xf>
    <x:xf numFmtId="0" fontId="3" fillId="3" borderId="0" xfId="0" applyAlignment="1">
      <x:alignment wrapText="1"/>
    </x:xf>
    <x:xf numFmtId="0" fontId="4" fillId="2" borderId="0" xfId="0"/>
    <x:xf numFmtId="0" fontId="3" fillId="0" borderId="0" xfId="0"/>
    <x:xf numFmtId="0" fontId="4" fillId="0" borderId="0" xfId="0"/>
    <x:xf numFmtId="0" fontId="2" fillId="0" borderId="0" xfId="0"/>
    <x:xf numFmtId="0" fontId="5" fillId="2" borderId="2" xfId="0" applyAlignment="1">
      <x:alignment horizontal="center" vertical="center" wrapText="1"/>
    </x:xf>
    <x:xf numFmtId="0" fontId="5" fillId="4" borderId="2" xfId="0" applyAlignment="1">
      <x:alignment horizontal="center" vertical="center" wrapText="1"/>
    </x:xf>
    <x:xf numFmtId="0" fontId="6" fillId="3" borderId="0" xfId="0" applyAlignment="1">
      <x:alignment vertical="top" wrapText="1"/>
    </x:xf>
    <x:xf numFmtId="164" fontId="0" fillId="0" borderId="0" xfId="0" applyAlignment="1">
      <x:alignment vertical="top" wrapText="1"/>
    </x:xf>
    <x:xf numFmtId="0" fontId="3" fillId="5" borderId="0" xfId="0"/>
    <x:xf numFmtId="0" fontId="7" fillId="0" borderId="0" xfId="0" applyAlignment="1">
      <x:alignment wrapText="1"/>
    </x:xf>
    <x:xf numFmtId="0" fontId="5" fillId="6" borderId="2" xfId="0" applyAlignment="1">
      <x:alignment horizontal="center" vertical="center" wrapText="1"/>
    </x:xf>
    <x:xf numFmtId="165" fontId="7" fillId="0" borderId="0" xfId="0" applyAlignment="1">
      <x:alignment wrapText="1"/>
    </x:xf>
    <x:xf numFmtId="0" fontId="3" fillId="0" borderId="0" xfId="0" applyAlignment="1">
      <x:alignment wrapText="1"/>
    </x:xf>
    <x:xf numFmtId="0" fontId="8" fillId="3" borderId="0" xfId="0" applyAlignment="1">
      <x:alignment vertical="top" wrapText="1"/>
    </x:xf>
    <x:xf numFmtId="0" fontId="9" fillId="0" borderId="0" xfId="0" applyAlignment="1">
      <x:alignment vertical="top" wrapText="1"/>
    </x:xf>
    <x:xf numFmtId="0" fontId="3" fillId="3" borderId="3" xfId="0" applyAlignment="1">
      <x:alignment horizontal="center" vertical="center" wrapText="1"/>
    </x:xf>
    <x:xf numFmtId="0" fontId="1" fillId="2" borderId="0" xfId="0" applyAlignment="1">
      <x:alignment horizontal="left"/>
    </x:xf>
    <x:xf numFmtId="0" fontId="10" fillId="0" borderId="0" xfId="0"/>
    <x:xf numFmtId="0" fontId="9" fillId="0" borderId="0" xfId="0"/>
    <x:xf numFmtId="0" fontId="10" fillId="3" borderId="0" xfId="0"/>
    <x:xf numFmtId="0" fontId="9" fillId="3" borderId="0" xfId="0"/>
    <x:xf numFmtId="0" fontId="2" fillId="7" borderId="0" xfId="0" applyAlignment="1">
      <x:alignment vertical="top" wrapText="1"/>
    </x:xf>
    <x:xf numFmtId="0" fontId="3" fillId="9" borderId="3" xfId="0" applyAlignment="1">
      <x:alignment horizontal="center" vertical="center" wrapText="1"/>
    </x:xf>
    <x:xf numFmtId="0" fontId="2" fillId="7" borderId="0" xfId="0"/>
    <x:xf numFmtId="0" fontId="3" fillId="8" borderId="3" xfId="0" applyAlignment="1">
      <x:alignment horizontal="center" vertical="center" wrapText="1"/>
    </x:xf>
    <x:xf numFmtId="3" fontId="0" fillId="0" borderId="0" xfId="0"/>
    <x:xf numFmtId="166" fontId="0" fillId="0" borderId="0" xfId="0"/>
    <x:xf numFmtId="0" fontId="3" fillId="10" borderId="3" xfId="0" applyAlignment="1">
      <x:alignment horizontal="center" vertical="center" wrapText="1"/>
    </x:xf>
    <x:xf numFmtId="167" fontId="0" fillId="0" borderId="0" xfId="0"/>
    <x:xf numFmtId="0" fontId="3" fillId="4" borderId="3" xfId="0" applyAlignment="1">
      <x:alignment horizontal="center" vertical="center" wrapText="1"/>
    </x:xf>
    <x:xf numFmtId="0" fontId="3" fillId="6" borderId="3" xfId="0" applyAlignment="1">
      <x:alignment horizontal="center" vertical="center" wrapText="1"/>
    </x:xf>
    <x:xf numFmtId="0" fontId="0" fillId="0" borderId="4" xfId="0"/>
    <x:xf numFmtId="0" fontId="3" fillId="3" borderId="5" xfId="0" applyAlignment="1">
      <x:alignment horizontal="center" vertical="center" wrapText="1"/>
    </x:xf>
  </x:cellXfs>
  <x:cellStyles count="1">
    <x:cellStyle name="Normal" xfId="0"/>
  </x:cellStyles>
  <x:dxfs count="5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FDE9E7"/>
        </x:patternFill>
      </x:fill>
    </x:dxf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f1a8a76fd4a6c" /><Relationship Type="http://schemas.openxmlformats.org/officeDocument/2006/relationships/theme" Target="/xl/theme/theme1.xml" Id="Rd9ec5cc03bb04918" /><Relationship Type="http://schemas.openxmlformats.org/officeDocument/2006/relationships/sharedStrings" Target="/xl/sharedStrings.xml" Id="R5d48cdaa489a4b0e" /><Relationship Type="http://schemas.openxmlformats.org/officeDocument/2006/relationships/worksheet" Target="/xl/worksheets/sheet1.xml" Id="Ra96059360d3e40ef" /><Relationship Type="http://schemas.openxmlformats.org/officeDocument/2006/relationships/worksheet" Target="/xl/worksheets/sheet2.xml" Id="R13c019253b5244e3" /><Relationship Type="http://schemas.openxmlformats.org/officeDocument/2006/relationships/worksheet" Target="/xl/worksheets/sheet3.xml" Id="R033ec3f7f18b43b9" /><Relationship Type="http://schemas.openxmlformats.org/officeDocument/2006/relationships/worksheet" Target="/xl/worksheets/sheet4.xml" Id="R57f4f0b9a38a4087" /><Relationship Type="http://schemas.openxmlformats.org/officeDocument/2006/relationships/worksheet" Target="/xl/worksheets/sheet5.xml" Id="Re79d36865bbf471c" /><Relationship Type="http://schemas.openxmlformats.org/officeDocument/2006/relationships/worksheet" Target="/xl/worksheets/sheet6.xml" Id="Re5baac487a084919" /><Relationship Type="http://schemas.openxmlformats.org/officeDocument/2006/relationships/worksheet" Target="/xl/worksheets/sheet7.xml" Id="R773d299f9c024ad4" /><Relationship Type="http://schemas.openxmlformats.org/officeDocument/2006/relationships/worksheet" Target="/xl/worksheets/sheet8.xml" Id="Rc7c3fbc8302d4b9f" /><Relationship Type="http://schemas.openxmlformats.org/officeDocument/2006/relationships/worksheet" Target="/xl/worksheets/sheet9.xml" Id="Rc5beefb8cea84213" /><Relationship Type="http://schemas.openxmlformats.org/officeDocument/2006/relationships/worksheet" Target="/xl/worksheets/sheet10.xml" Id="R6229900a48c340e8" /><Relationship Type="http://schemas.openxmlformats.org/officeDocument/2006/relationships/worksheet" Target="/xl/worksheets/sheet11.xml" Id="Rd38fbf1f6bbf45f8" /><Relationship Type="http://schemas.openxmlformats.org/officeDocument/2006/relationships/worksheet" Target="/xl/worksheets/sheet12.xml" Id="Rcbb26396659346da" /><Relationship Type="http://schemas.openxmlformats.org/officeDocument/2006/relationships/worksheet" Target="/xl/worksheets/sheet13.xml" Id="R6d588eb0cd964e21" /><Relationship Type="http://schemas.openxmlformats.org/officeDocument/2006/relationships/worksheet" Target="/xl/worksheets/sheet14.xml" Id="Redad032b60104db3" /><Relationship Type="http://schemas.openxmlformats.org/officeDocument/2006/relationships/worksheet" Target="/xl/worksheets/sheet15.xml" Id="Rf0d5aacec2d541a0" /><Relationship Type="http://schemas.openxmlformats.org/officeDocument/2006/relationships/worksheet" Target="/xl/worksheets/sheet16.xml" Id="R3b41cd725e414d5b" /><Relationship Type="http://schemas.openxmlformats.org/officeDocument/2006/relationships/worksheet" Target="/xl/worksheets/sheet17.xml" Id="R119a4c30dc7a4e20" /><Relationship Type="http://schemas.openxmlformats.org/officeDocument/2006/relationships/worksheet" Target="/xl/worksheets/sheet18.xml" Id="R77dc6b6b4668403f" /><Relationship Type="http://schemas.openxmlformats.org/officeDocument/2006/relationships/worksheet" Target="/xl/worksheets/sheet19.xml" Id="R2357f8a986484335" /><Relationship Type="http://schemas.openxmlformats.org/officeDocument/2006/relationships/worksheet" Target="/xl/worksheets/sheet20.xml" Id="R146cdae7f985496b" /><Relationship Type="http://schemas.openxmlformats.org/officeDocument/2006/relationships/worksheet" Target="/xl/worksheets/sheet21.xml" Id="R467a57adbbc7416d" /><Relationship Type="http://schemas.openxmlformats.org/officeDocument/2006/relationships/worksheet" Target="/xl/worksheets/sheet22.xml" Id="R60494fe4ac064419" /><Relationship Type="http://schemas.microsoft.com/office/2017/10/relationships/person" Target="/xl/persons/person.xml" Id="R8c5c226901c34b47" /></Relationships>
</file>

<file path=xl/persons/person.xml><?xml version="1.0" encoding="utf-8"?>
<xltc:personList xmlns:xltc="http://schemas.microsoft.com/office/spreadsheetml/2018/threadedcomments">
  <xltc:person displayName="OpenAI" id="{B6B6FD04-EA60-93A5-7899-E41D9606AA8D}"/>
  <xltc:person displayName="OpenAI" id="{577102C2-3136-5511-3529-F8FEA1C0BE51}"/>
  <xltc:person displayName="OpenAI" id="{AC496FE0-A4A8-5B9B-2B3E-F093066121EF}"/>
  <xltc:person displayName="OpenAI" id="{C19234F8-1C52-4C85-FD51-CCB8B5B8BA90}"/>
  <xltc:person displayName="OpenAI" id="{BA8D0AB8-E5A7-C0BA-74C6-537E579B340C}"/>
</xltc:personList>
</file>

<file path=xl/tables/table1.xml><?xml version="1.0" encoding="utf-8"?>
<x:table xmlns:x="http://schemas.openxmlformats.org/spreadsheetml/2006/main" id="1" name="MoldSpeciesTable" displayName="MoldSpeciesTable" ref="A3:R122" headerRowCount="1">
  <x:autoFilter ref="A3:R122"/>
  <x:tableColumns count="18">
    <x:tableColumn id="1" name="species_name"/>
    <x:tableColumn id="2" name="genus"/>
    <x:tableColumn id="3" name="common_category"/>
    <x:tableColumn id="4" name="primary_color"/>
    <x:tableColumn id="5" name="secondary_color"/>
    <x:tableColumn id="6" name="texture"/>
    <x:tableColumn id="7" name="growth_pattern"/>
    <x:tableColumn id="8" name="common_materials"/>
    <x:tableColumn id="9" name="common_locations"/>
    <x:tableColumn id="10" name="moisture_requirement"/>
    <x:tableColumn id="11" name="humidity_threshold_percent"/>
    <x:tableColumn id="12" name="temperature_range_c"/>
    <x:tableColumn id="13" name="porous_surface_growth"/>
    <x:tableColumn id="14" name="non_porous_surface_growth"/>
    <x:tableColumn id="15" name="health_risk_category"/>
    <x:tableColumn id="16" name="known_myotoxin_producer"/>
    <x:tableColumn id="17" name="remediation_guidance"/>
    <x:tableColumn id="18" name="ai_visual_tags"/>
  </x:tableColumns>
  <x:tableStyleInfo name="TableStyleMedium2" showRowStripes="1"/>
</x:table>
</file>

<file path=xl/tables/table2.xml><?xml version="1.0" encoding="utf-8"?>
<x:table xmlns:x="http://schemas.openxmlformats.org/spreadsheetml/2006/main" id="2" name="EarlySignsTable" displayName="EarlySignsTable" ref="A1:E13" headerRowCount="1">
  <x:autoFilter ref="A1:E13"/>
  <x:tableColumns count="5">
    <x:tableColumn id="1" name="sign_name"/>
    <x:tableColumn id="2" name="what_ai_should_flag"/>
    <x:tableColumn id="3" name="common_surfaces"/>
    <x:tableColumn id="4" name="confidence_hint"/>
    <x:tableColumn id="5" name="action_note"/>
  </x:tableColumns>
  <x:tableStyleInfo name="TableStyleMedium9" showRowStripes="1"/>
</x:table>
</file>

<file path=xl/tables/table3.xml><?xml version="1.0" encoding="utf-8"?>
<x:table xmlns:x="http://schemas.openxmlformats.org/spreadsheetml/2006/main" id="3" name="CleaningTable" displayName="CleaningTable" ref="A1:E10" headerRowCount="1">
  <x:autoFilter ref="A1:E10"/>
  <x:tableColumns count="5">
    <x:tableColumn id="1" name="agent"/>
    <x:tableColumn id="2" name="best_for"/>
    <x:tableColumn id="3" name="surface_type"/>
    <x:tableColumn id="4" name="avoid_on"/>
    <x:tableColumn id="5" name="notes"/>
  </x:tableColumns>
  <x:tableStyleInfo name="TableStyleMedium4" showRowStripes="1"/>
</x:table>
</file>

<file path=xl/tables/table4.xml><?xml version="1.0" encoding="utf-8"?>
<x:table xmlns:x="http://schemas.openxmlformats.org/spreadsheetml/2006/main" id="4" name="DictionaryTable" displayName="DictionaryTable" ref="A1:C19" headerRowCount="1">
  <x:autoFilter ref="A1:C19"/>
  <x:tableColumns count="3">
    <x:tableColumn id="1" name="field_name"/>
    <x:tableColumn id="2" name="description"/>
    <x:tableColumn id="3" name="example"/>
  </x:tableColumns>
  <x:tableStyleInfo name="TableStyleMedium6" showRowStripes="1"/>
</x:table>
</file>

<file path=xl/tables/table5.xml><?xml version="1.0" encoding="utf-8"?>
<x:table xmlns:x="http://schemas.openxmlformats.org/spreadsheetml/2006/main" id="5" name="CoreMoldLogicTable" displayName="CoreMoldLogicTable" ref="A4:D14" headerRowCount="1">
  <x:autoFilter ref="A4:D14"/>
  <x:tableColumns count="4">
    <x:tableColumn id="1" name="rule_id"/>
    <x:tableColumn id="2" name="rule_name"/>
    <x:tableColumn id="3" name="logic_statement"/>
    <x:tableColumn id="4" name="why_it_matters"/>
  </x:tableColumns>
  <x:tableStyleInfo name="TableStyleMedium7" showRowStripes="1"/>
</x:table>
</file>

<file path=xl/tables/table6.xml><?xml version="1.0" encoding="utf-8"?>
<x:table xmlns:x="http://schemas.openxmlformats.org/spreadsheetml/2006/main" id="6" name="InterpretationExamplesTable" displayName="InterpretationExamplesTable" ref="A1:D5" headerRowCount="1">
  <x:autoFilter ref="A1:D5"/>
  <x:tableColumns count="4">
    <x:tableColumn id="1" name="scenario"/>
    <x:tableColumn id="2" name="indoor_result"/>
    <x:tableColumn id="3" name="outdoor_result"/>
    <x:tableColumn id="4" name="ai_interpretation"/>
  </x:tableColumns>
  <x:tableStyleInfo name="TableStyleMedium3" showRowStripes="1"/>
</x:table>
</file>

<file path=xl/tables/table7.xml><?xml version="1.0" encoding="utf-8"?>
<x:table xmlns:x="http://schemas.openxmlformats.org/spreadsheetml/2006/main" id="7" name="AIDecisionTreeTable" displayName="AIDecisionTreeTable" ref="A4:F11" headerRowCount="1">
  <x:autoFilter ref="A4:F11"/>
  <x:tableColumns count="6">
    <x:tableColumn id="1" name="Step"/>
    <x:tableColumn id="2" name="Decision Question"/>
    <x:tableColumn id="3" name="If Yes"/>
    <x:tableColumn id="4" name="If No"/>
    <x:tableColumn id="5" name="AI Output Class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AIOutputMapTable" displayName="AIOutputMapTable" ref="A14:D22" headerRowCount="1">
  <x:autoFilter ref="A14:D22"/>
  <x:tableColumns count="4">
    <x:tableColumn id="1" name="Output Class"/>
    <x:tableColumn id="2" name="Recommended App Response"/>
    <x:tableColumn id="3" name="Confidence Direction"/>
    <x:tableColumn id="4" name="Suggested CTA"/>
  </x:tableColumns>
  <x:tableStyleInfo name="TableStyleMedium2" showRowStripes="1"/>
</x:table>
</file>

<file path=xl/tables/table9.xml><?xml version="1.0" encoding="utf-8"?>
<x:table xmlns:x="http://schemas.openxmlformats.org/spreadsheetml/2006/main" id="9" name="InspectionLanguageTable" displayName="InspectionLanguageTable" ref="A4:F14" headerRowCount="1">
  <x:autoFilter ref="A4:F14"/>
  <x:tableColumns count="6">
    <x:tableColumn id="1" name="Situation"/>
    <x:tableColumn id="2" name="Audience"/>
    <x:tableColumn id="3" name="Recommended wording"/>
    <x:tableColumn id="4" name="Avoid wording"/>
    <x:tableColumn id="5" name="Purpose"/>
    <x:tableColumn id="6" name="Example app message"/>
  </x:tableColumns>
  <x:tableStyleInfo name="TableStyleMedium2" showRowStripes="1"/>
</x:table>
</file>

<file path=xl/tables/table10.xml><?xml version="1.0" encoding="utf-8"?>
<x:table xmlns:x="http://schemas.openxmlformats.org/spreadsheetml/2006/main" id="10" name="MoistureSourceTable" displayName="MoistureSourceTable" ref="A4:H12" headerRowCount="1">
  <x:autoFilter ref="A4:H12"/>
  <x:tableColumns count="8">
    <x:tableColumn id="1" name="Source Type"/>
    <x:tableColumn id="2" name="Typical Indicators"/>
    <x:tableColumn id="3" name="Common Rooms"/>
    <x:tableColumn id="4" name="Visual Clues"/>
    <x:tableColumn id="5" name="Risk Pattern"/>
    <x:tableColumn id="6" name="Likely Hidden?"/>
    <x:tableColumn id="7" name="Suggested AI Output"/>
    <x:tableColumn id="8" name="Professional Follow-up"/>
  </x:tableColumns>
  <x:tableStyleInfo name="TableStyleMedium2" showRowStripes="1"/>
</x:table>
</file>

<file path=xl/tables/table11.xml><?xml version="1.0" encoding="utf-8"?>
<x:table xmlns:x="http://schemas.openxmlformats.org/spreadsheetml/2006/main" id="11" name="RoomInspectionLogicTable" displayName="RoomInspectionLogicTable" ref="A4:I12" headerRowCount="1">
  <x:autoFilter ref="A4:I12"/>
  <x:tableColumns count="9">
    <x:tableColumn id="1" name="Room / Area"/>
    <x:tableColumn id="2" name="Primary Risk Drivers"/>
    <x:tableColumn id="3" name="High-Value Checkpoints"/>
    <x:tableColumn id="4" name="Common False Positives"/>
    <x:tableColumn id="5" name="Escalation Triggers"/>
    <x:tableColumn id="6" name="Homeowner Language"/>
    <x:tableColumn id="7" name="Professional Language"/>
    <x:tableColumn id="8" name="Suggested Next Step"/>
    <x:tableColumn id="9" name="Priority"/>
  </x:tableColumns>
  <x:tableStyleInfo name="TableStyleMedium2" showRowStripes="1"/>
</x:table>
</file>

<file path=xl/tables/table12.xml><?xml version="1.0" encoding="utf-8"?>
<x:table xmlns:x="http://schemas.openxmlformats.org/spreadsheetml/2006/main" id="12" name="RemediationFrameworkTable" displayName="RemediationFrameworkTable" ref="A4:I10" headerRowCount="1">
  <x:autoFilter ref="A4:I10"/>
  <x:tableColumns count="9">
    <x:tableColumn id="1" name="Scenario"/>
    <x:tableColumn id="2" name="Visual Severity"/>
    <x:tableColumn id="3" name="Substrate Type"/>
    <x:tableColumn id="4" name="Moisture Status"/>
    <x:tableColumn id="5" name="Recurrence"/>
    <x:tableColumn id="6" name="Suggested Path"/>
    <x:tableColumn id="7" name="Homeowner Message"/>
    <x:tableColumn id="8" name="Professional Message"/>
    <x:tableColumn id="9" name="Notes / Limits"/>
  </x:tableColumns>
  <x:tableStyleInfo name="TableStyleMedium2" showRowStripes="1"/>
</x:table>
</file>

<file path=xl/tables/table13.xml><?xml version="1.0" encoding="utf-8"?>
<x:table xmlns:x="http://schemas.openxmlformats.org/spreadsheetml/2006/main" id="13" name="ImageLabelTaxonomyTable" displayName="ImageLabelTaxonomyTable" ref="A4:J15" headerRowCount="1">
  <x:autoFilter ref="A4:J15"/>
  <x:tableColumns count="10">
    <x:tableColumn id="1" name="Label Group"/>
    <x:tableColumn id="2" name="Field Name"/>
    <x:tableColumn id="3" name="Allowed Values / Examples"/>
    <x:tableColumn id="4" name="Purpose"/>
    <x:tableColumn id="5" name="Example Annotation"/>
    <x:tableColumn id="6" name="Data Type"/>
    <x:tableColumn id="7" name="Input or Derived"/>
    <x:tableColumn id="8" name="AI Relevance"/>
    <x:tableColumn id="9" name="Review Note"/>
    <x:tableColumn id="10" name="Source / Context"/>
  </x:tableColumns>
  <x:tableStyleInfo name="TableStyleMedium2" showRowStripes="1"/>
</x:table>
</file>

<file path=xl/tables/table14.xml><?xml version="1.0" encoding="utf-8"?>
<x:table xmlns:x="http://schemas.openxmlformats.org/spreadsheetml/2006/main" id="14" name="TrainingAnnotationTemplateTable" displayName="TrainingAnnotationTemplateTable" ref="A4:L8" headerRowCount="1">
  <x:autoFilter ref="A4:L8"/>
  <x:tableColumns count="12">
    <x:tableColumn id="1" name="image_id"/>
    <x:tableColumn id="2" name="room_type"/>
    <x:tableColumn id="3" name="surface_type"/>
    <x:tableColumn id="4" name="moisture_visible (0/1)"/>
    <x:tableColumn id="5" name="texture_type"/>
    <x:tableColumn id="6" name="edge_pattern"/>
    <x:tableColumn id="7" name="color_profile"/>
    <x:tableColumn id="8" name="recurring_issue (0/1)"/>
    <x:tableColumn id="9" name="odor_reported (0/1)"/>
    <x:tableColumn id="10" name="likely_source"/>
    <x:tableColumn id="11" name="derived_substrate_flag"/>
    <x:tableColumn id="12" name="derived_attention_flag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d48f9ffbd94c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604b6e433434478" /><Relationship Type="http://schemas.openxmlformats.org/officeDocument/2006/relationships/vmlDrawing" Target="/xl/drawings/vmldrawing.vml" Id="R998ba104f9bc41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e4f9767f634b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a18f06adf04b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e15092eab64c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5f09828eb149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caab62b03948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6d27de64a84622" /><Relationship Type="http://schemas.openxmlformats.org/officeDocument/2006/relationships/table" Target="/xl/tables/table8.xml" Id="R4c7eeaba731b40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2.xml" Id="Rc7489a4db8c4406d" /><Relationship Type="http://schemas.openxmlformats.org/officeDocument/2006/relationships/vmlDrawing" Target="/xl/drawings/vmldrawing2.vml" Id="Rbf771f6d5f504b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12e17dd6d1e4c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f809a95978a4a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0f9689f28cf4f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0357e03722e46e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e2f2dd72a05415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7ceb72bbf6849d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3.xml" Id="R6c611042a0dd4ce6" /><Relationship Type="http://schemas.openxmlformats.org/officeDocument/2006/relationships/vmlDrawing" Target="/xl/drawings/vmldrawing3.vml" Id="R921251b5321a4cc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4.xml" Id="R5ba2054fca404f35" /><Relationship Type="http://schemas.openxmlformats.org/officeDocument/2006/relationships/vmlDrawing" Target="/xl/drawings/vmldrawing4.vml" Id="R561fb47aeabd409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comments" Target="/xl/comments5.xml" Id="R9d7f4fed116b452c" /><Relationship Type="http://schemas.openxmlformats.org/officeDocument/2006/relationships/vmlDrawing" Target="/xl/drawings/vmldrawing5.vml" Id="R62bb0969b6f746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8" customWidth="1"/>
    <x:col min="3" max="3" width="26" customWidth="1"/>
    <x:col min="4" max="4" width="15" customWidth="1"/>
    <x:col min="5" max="5" width="17" customWidth="1"/>
    <x:col min="6" max="6" width="17" customWidth="1"/>
    <x:col min="7" max="7" width="17" customWidth="1"/>
    <x:col min="8" max="8" width="26" customWidth="1"/>
    <x:col min="9" max="9" width="26" customWidth="1"/>
    <x:col min="10" max="10" width="22" customWidth="1"/>
    <x:col min="11" max="11" width="26" customWidth="1"/>
    <x:col min="12" max="12" width="21" customWidth="1"/>
    <x:col min="13" max="13" width="23" customWidth="1"/>
    <x:col min="14" max="14" width="26" customWidth="1"/>
    <x:col min="15" max="15" width="22" customWidth="1"/>
    <x:col min="16" max="16" width="26" customWidth="1"/>
    <x:col min="17" max="17" width="26" customWidth="1"/>
    <x:col min="18" max="18" width="26" customWidth="1"/>
    <x:col min="19" max="19" width="26" customWidth="1"/>
    <x:col min="20" max="20" width="26" customWidth="1"/>
    <x:col min="21" max="21" width="26" customWidth="1"/>
    <x:col min="22" max="22" width="26" customWidth="1"/>
    <x:col min="23" max="23" width="26" customWidth="1"/>
    <x:col min="24" max="24" width="26" customWidth="1"/>
    <x:col min="25" max="25" width="26" customWidth="1"/>
    <x:col min="26" max="26" width="26" customWidth="1"/>
  </x:cols>
  <x:sheetData>
    <x:row r="1" ht="22" customHeight="1">
      <x:c r="A1" s="41" t="inlineStr">
        <x:is>
          <x:t xml:space="preserve">species_name</x:t>
        </x:is>
      </x:c>
      <x:c r="B1" s="40" t="n"/>
      <x:c r="C1" s="40" t="n"/>
      <x:c r="D1" s="40" t="n"/>
      <x:c r="E1" s="40" t="n"/>
      <x:c r="F1" s="40" t="n"/>
      <x:c r="G1" s="40" t="n"/>
      <x:c r="H1" s="40" t="n"/>
      <x:c r="I1" s="40" t="n"/>
      <x:c r="J1" s="40" t="n"/>
      <x:c r="K1" s="40" t="n"/>
      <x:c r="L1" s="40" t="n"/>
      <x:c r="M1" s="40" t="n"/>
      <x:c r="N1" s="40" t="n"/>
      <x:c r="O1" s="40" t="n"/>
      <x:c r="P1" s="40" t="n"/>
      <x:c r="Q1" s="40" t="n"/>
      <x:c r="R1" s="40" t="n"/>
      <x:c r="S1" s="40" t="n"/>
      <x:c r="T1" s="40" t="n"/>
      <x:c r="U1" s="40" t="n"/>
      <x:c r="V1" s="40" t="n"/>
      <x:c r="W1" s="40" t="n"/>
      <x:c r="X1" s="40" t="n"/>
      <x:c r="Y1" s="40" t="n"/>
      <x:c r="Z1" s="40" t="n"/>
    </x:row>
    <x:row r="2" ht="22" customHeight="1">
      <x:c r="A2" s="4" t="inlineStr">
        <x:is>
          <x:t xml:space="preserve">Stachybotrys chartarum</x:t>
        </x:is>
      </x:c>
    </x:row>
    <x:row r="3">
      <x:c r="A3" s="4" t="inlineStr">
        <x:is>
          <x:t xml:space="preserve">Stachybotrys chlorohalonata</x:t>
        </x:is>
      </x:c>
      <x:c r="B3" s="4" t="inlineStr">
        <x:is>
          <x:t xml:space="preserve">Stachybotrys</x:t>
        </x:is>
      </x:c>
      <x:c r="C3" s="4" t="inlineStr">
        <x:is>
          <x:t xml:space="preserve">Toxigenic</x:t>
        </x:is>
      </x:c>
      <x:c r="D3" s="4" t="inlineStr">
        <x:is>
          <x:t xml:space="preserve">dark green</x:t>
        </x:is>
      </x:c>
      <x:c r="E3" s="4" t="inlineStr">
        <x:is>
          <x:t xml:space="preserve">black</x:t>
        </x:is>
      </x:c>
      <x:c r="F3" s="4" t="inlineStr">
        <x:is>
          <x:t xml:space="preserve">slimy</x:t>
        </x:is>
      </x:c>
      <x:c r="G3" s="4" t="inlineStr">
        <x:is>
          <x:t xml:space="preserve">patchy</x:t>
        </x:is>
      </x:c>
      <x:c r="H3" s="4" t="inlineStr">
        <x:is>
          <x:t xml:space="preserve">drywall, wallpaper, cellulose</x:t>
        </x:is>
      </x:c>
      <x:c r="I3" s="4" t="inlineStr">
        <x:is>
          <x:t xml:space="preserve">water damaged walls, ceilings</x:t>
        </x:is>
      </x:c>
      <x:c r="J3" s="4" t="inlineStr">
        <x:is>
          <x:t xml:space="preserve">high</x:t>
        </x:is>
      </x:c>
      <x:c r="K3" s="4" t="inlineStr">
        <x:is>
          <x:t xml:space="preserve">70+</x:t>
        </x:is>
      </x:c>
      <x:c r="L3" s="4" t="inlineStr">
        <x:is>
          <x:t xml:space="preserve">20-30</x:t>
        </x:is>
      </x:c>
      <x:c r="M3" s="4" t="inlineStr">
        <x:is>
          <x:t xml:space="preserve">yes</x:t>
        </x:is>
      </x:c>
      <x:c r="N3" s="4" t="inlineStr">
        <x:is>
          <x:t xml:space="preserve">rare</x:t>
        </x:is>
      </x:c>
      <x:c r="O3" s="4" t="inlineStr">
        <x:is>
          <x:t xml:space="preserve">high</x:t>
        </x:is>
      </x:c>
      <x:c r="P3" s="4" t="inlineStr">
        <x:is>
          <x:t xml:space="preserve">yes</x:t>
        </x:is>
      </x:c>
      <x:c r="Q3" s="4" t="inlineStr">
        <x:is>
          <x:t xml:space="preserve">remove porous materials; correct moisture</x:t>
        </x:is>
      </x:c>
      <x:c r="R3" s="4" t="inlineStr">
        <x:is>
          <x:t xml:space="preserve">black_colony, slimy_texture, water_damage</x:t>
        </x:is>
      </x:c>
      <x:c r="S3" s="4" t="inlineStr">
        <x:is>
          <x:t xml:space="preserve">Sticky water-damage group</x:t>
        </x:is>
      </x:c>
      <x:c r="T3" s="4" t="inlineStr">
        <x:is>
          <x:t xml:space="preserve">high</x:t>
        </x:is>
      </x:c>
      <x:c r="U3" s="4" t="inlineStr">
        <x:is>
          <x:t xml:space="preserve">toxic + allergenic</x:t>
        </x:is>
      </x:c>
      <x:c r="V3" s="4" t="inlineStr">
        <x:is>
          <x:t xml:space="preserve">48-72+ hrs after sustained wetting</x:t>
        </x:is>
      </x:c>
      <x:c r="W3" s="4" t="inlineStr">
        <x:is>
          <x:t xml:space="preserve">surface/bulk preferred; air may under-represent</x:t>
        </x:is>
      </x:c>
      <x:c r="X3" s="4" t="inlineStr">
        <x:is>
          <x:t xml:space="preserve">no</x:t>
        </x:is>
      </x:c>
      <x:c r="Y3" s="4" t="inlineStr">
        <x:is>
          <x:t xml:space="preserve">dark green, black, slimy, patchy</x:t>
        </x:is>
      </x:c>
      <x:c r="Z3" s="4" t="inlineStr">
        <x:is>
          <x:t xml:space="preserve">porous materials preferred; non-porous growth usually on rare</x:t>
        </x:is>
      </x:c>
    </x:row>
    <x:row r="4" ht="22" customHeight="1">
      <x:c r="A4" s="4" t="inlineStr">
        <x:is>
          <x:t xml:space="preserve">Aspergillus niger</x:t>
        </x:is>
      </x:c>
      <x:c r="B4" s="4" t="inlineStr">
        <x:is>
          <x:t xml:space="preserve">Aspergillus</x:t>
        </x:is>
      </x:c>
      <x:c r="C4" s="4" t="inlineStr">
        <x:is>
          <x:t xml:space="preserve">Allergenic / Opportunistic</x:t>
        </x:is>
      </x:c>
      <x:c r="D4" s="4" t="inlineStr">
        <x:is>
          <x:t xml:space="preserve">green</x:t>
        </x:is>
      </x:c>
      <x:c r="E4" s="4" t="inlineStr">
        <x:is>
          <x:t xml:space="preserve">gray</x:t>
        </x:is>
      </x:c>
      <x:c r="F4" s="4" t="inlineStr">
        <x:is>
          <x:t xml:space="preserve">powdery</x:t>
        </x:is>
      </x:c>
      <x:c r="G4" s="4" t="inlineStr">
        <x:is>
          <x:t xml:space="preserve">circular</x:t>
        </x:is>
      </x:c>
      <x:c r="H4" s="4" t="inlineStr">
        <x:is>
          <x:t xml:space="preserve">drywall, insulation, dust</x:t>
        </x:is>
      </x:c>
      <x:c r="I4" s="4" t="inlineStr">
        <x:is>
          <x:t xml:space="preserve">HVAC, walls, dust reservoirs</x:t>
        </x:is>
      </x:c>
      <x:c r="J4" s="4" t="inlineStr">
        <x:is>
          <x:t xml:space="preserve">moderate</x:t>
        </x:is>
      </x:c>
      <x:c r="K4" s="4" t="inlineStr">
        <x:is>
          <x:t xml:space="preserve">60+</x:t>
        </x:is>
      </x:c>
      <x:c r="L4" s="4" t="inlineStr">
        <x:is>
          <x:t xml:space="preserve">20-37</x:t>
        </x:is>
      </x:c>
      <x:c r="M4" s="4" t="inlineStr">
        <x:is>
          <x:t xml:space="preserve">yes</x:t>
        </x:is>
      </x:c>
      <x:c r="N4" s="4" t="inlineStr">
        <x:is>
          <x:t xml:space="preserve">possible via dust</x:t>
        </x:is>
      </x:c>
      <x:c r="O4" s="4" t="inlineStr">
        <x:is>
          <x:t xml:space="preserve">moderate</x:t>
        </x:is>
      </x:c>
      <x:c r="P4" s="4" t="inlineStr">
        <x:is>
          <x:t xml:space="preserve">some strains</x:t>
        </x:is>
      </x:c>
      <x:c r="Q4" s="4" t="inlineStr">
        <x:is>
          <x:t xml:space="preserve">HEPA vacuum + damp wipe if light</x:t>
        </x:is>
      </x:c>
      <x:c r="R4" s="4" t="inlineStr">
        <x:is>
          <x:t xml:space="preserve">green_powdery, round_colony, dusty_growth</x:t>
        </x:is>
      </x:c>
      <x:c r="S4" s="4" t="inlineStr">
        <x:is>
          <x:t xml:space="preserve">Aspergillus/Penicillium-like</x:t>
        </x:is>
      </x:c>
      <x:c r="T4" s="4" t="inlineStr">
        <x:is>
          <x:t xml:space="preserve">low-to-moderate</x:t>
        </x:is>
      </x:c>
      <x:c r="U4" s="4" t="inlineStr">
        <x:is>
          <x:t xml:space="preserve">allergenic + opportunistic infectious</x:t>
        </x:is>
      </x:c>
      <x:c r="V4" s="4" t="inlineStr">
        <x:is>
          <x:t xml:space="preserve">24-48 hrs with persistent humidity</x:t>
        </x:is>
      </x:c>
      <x:c r="W4" s="4" t="inlineStr">
        <x:is>
          <x:t xml:space="preserve">air + surface/bulk</x:t>
        </x:is>
      </x:c>
      <x:c r="X4" s="4" t="inlineStr">
        <x:is>
          <x:t xml:space="preserve">no</x:t>
        </x:is>
      </x:c>
      <x:c r="Y4" s="4" t="inlineStr">
        <x:is>
          <x:t xml:space="preserve">green, gray, powdery, circular</x:t>
        </x:is>
      </x:c>
      <x:c r="Z4" s="4" t="inlineStr">
        <x:is>
          <x:t xml:space="preserve">porous materials preferred; non-porous growth usually on possible via dust</x:t>
        </x:is>
      </x:c>
    </x:row>
    <x:row r="5">
      <x:c r="A5" s="4" t="inlineStr">
        <x:is>
          <x:t xml:space="preserve">Aspergillus fumigatus</x:t>
        </x:is>
      </x:c>
      <x:c r="B5" s="4" t="inlineStr">
        <x:is>
          <x:t xml:space="preserve">Aspergillus</x:t>
        </x:is>
      </x:c>
      <x:c r="C5" s="4" t="inlineStr">
        <x:is>
          <x:t xml:space="preserve">Allergenic / Opportunistic</x:t>
        </x:is>
      </x:c>
      <x:c r="D5" s="4" t="inlineStr">
        <x:is>
          <x:t xml:space="preserve">green</x:t>
        </x:is>
      </x:c>
      <x:c r="E5" s="4" t="inlineStr">
        <x:is>
          <x:t xml:space="preserve">gray</x:t>
        </x:is>
      </x:c>
      <x:c r="F5" s="4" t="inlineStr">
        <x:is>
          <x:t xml:space="preserve">powdery</x:t>
        </x:is>
      </x:c>
      <x:c r="G5" s="4" t="inlineStr">
        <x:is>
          <x:t xml:space="preserve">circular</x:t>
        </x:is>
      </x:c>
      <x:c r="H5" s="4" t="inlineStr">
        <x:is>
          <x:t xml:space="preserve">drywall, insulation, dust</x:t>
        </x:is>
      </x:c>
      <x:c r="I5" s="4" t="inlineStr">
        <x:is>
          <x:t xml:space="preserve">HVAC, walls, dust reservoirs</x:t>
        </x:is>
      </x:c>
      <x:c r="J5" s="4" t="inlineStr">
        <x:is>
          <x:t xml:space="preserve">moderate</x:t>
        </x:is>
      </x:c>
      <x:c r="K5" s="4" t="inlineStr">
        <x:is>
          <x:t xml:space="preserve">60+</x:t>
        </x:is>
      </x:c>
      <x:c r="L5" s="4" t="inlineStr">
        <x:is>
          <x:t xml:space="preserve">20-37</x:t>
        </x:is>
      </x:c>
      <x:c r="M5" s="4" t="inlineStr">
        <x:is>
          <x:t xml:space="preserve">yes</x:t>
        </x:is>
      </x:c>
      <x:c r="N5" s="4" t="inlineStr">
        <x:is>
          <x:t xml:space="preserve">possible via dust</x:t>
        </x:is>
      </x:c>
      <x:c r="O5" s="4" t="inlineStr">
        <x:is>
          <x:t xml:space="preserve">moderate</x:t>
        </x:is>
      </x:c>
      <x:c r="P5" s="4" t="inlineStr">
        <x:is>
          <x:t xml:space="preserve">some strains</x:t>
        </x:is>
      </x:c>
      <x:c r="Q5" s="4" t="inlineStr">
        <x:is>
          <x:t xml:space="preserve">HEPA vacuum + damp wipe if light</x:t>
        </x:is>
      </x:c>
      <x:c r="R5" s="4" t="inlineStr">
        <x:is>
          <x:t xml:space="preserve">green_powdery, round_colony, dusty_growth</x:t>
        </x:is>
      </x:c>
      <x:c r="S5" s="4" t="inlineStr">
        <x:is>
          <x:t xml:space="preserve">Aspergillus/Penicillium-like</x:t>
        </x:is>
      </x:c>
      <x:c r="T5" s="4" t="inlineStr">
        <x:is>
          <x:t xml:space="preserve">low-to-moderate</x:t>
        </x:is>
      </x:c>
      <x:c r="U5" s="4" t="inlineStr">
        <x:is>
          <x:t xml:space="preserve">allergenic + opportunistic infectious</x:t>
        </x:is>
      </x:c>
      <x:c r="V5" s="4" t="inlineStr">
        <x:is>
          <x:t xml:space="preserve">24-48 hrs with persistent humidity</x:t>
        </x:is>
      </x:c>
      <x:c r="W5" s="4" t="inlineStr">
        <x:is>
          <x:t xml:space="preserve">air + surface/bulk</x:t>
        </x:is>
      </x:c>
      <x:c r="X5" s="4" t="inlineStr">
        <x:is>
          <x:t xml:space="preserve">no</x:t>
        </x:is>
      </x:c>
      <x:c r="Y5" s="4" t="inlineStr">
        <x:is>
          <x:t xml:space="preserve">green, gray, powdery, circular</x:t>
        </x:is>
      </x:c>
      <x:c r="Z5" s="4" t="inlineStr">
        <x:is>
          <x:t xml:space="preserve">porous materials preferred; non-porous growth usually on possible via dust</x:t>
        </x:is>
      </x:c>
    </x:row>
    <x:row r="6">
      <x:c r="A6" s="4" t="inlineStr">
        <x:is>
          <x:t xml:space="preserve">Aspergillus flavus</x:t>
        </x:is>
      </x:c>
      <x:c r="B6" s="4" t="inlineStr">
        <x:is>
          <x:t xml:space="preserve">Aspergillus</x:t>
        </x:is>
      </x:c>
      <x:c r="C6" s="4" t="inlineStr">
        <x:is>
          <x:t xml:space="preserve">Allergenic / Opportunistic</x:t>
        </x:is>
      </x:c>
      <x:c r="D6" s="4" t="inlineStr">
        <x:is>
          <x:t xml:space="preserve">green</x:t>
        </x:is>
      </x:c>
      <x:c r="E6" s="4" t="inlineStr">
        <x:is>
          <x:t xml:space="preserve">gray</x:t>
        </x:is>
      </x:c>
      <x:c r="F6" s="4" t="inlineStr">
        <x:is>
          <x:t xml:space="preserve">powdery</x:t>
        </x:is>
      </x:c>
      <x:c r="G6" s="4" t="inlineStr">
        <x:is>
          <x:t xml:space="preserve">circular</x:t>
        </x:is>
      </x:c>
      <x:c r="H6" s="4" t="inlineStr">
        <x:is>
          <x:t xml:space="preserve">drywall, insulation, dust</x:t>
        </x:is>
      </x:c>
      <x:c r="I6" s="4" t="inlineStr">
        <x:is>
          <x:t xml:space="preserve">HVAC, walls, dust reservoirs</x:t>
        </x:is>
      </x:c>
      <x:c r="J6" s="4" t="inlineStr">
        <x:is>
          <x:t xml:space="preserve">moderate</x:t>
        </x:is>
      </x:c>
      <x:c r="K6" s="4" t="inlineStr">
        <x:is>
          <x:t xml:space="preserve">60+</x:t>
        </x:is>
      </x:c>
      <x:c r="L6" s="4" t="inlineStr">
        <x:is>
          <x:t xml:space="preserve">20-37</x:t>
        </x:is>
      </x:c>
      <x:c r="M6" s="4" t="inlineStr">
        <x:is>
          <x:t xml:space="preserve">yes</x:t>
        </x:is>
      </x:c>
      <x:c r="N6" s="4" t="inlineStr">
        <x:is>
          <x:t xml:space="preserve">possible via dust</x:t>
        </x:is>
      </x:c>
      <x:c r="O6" s="4" t="inlineStr">
        <x:is>
          <x:t xml:space="preserve">moderate</x:t>
        </x:is>
      </x:c>
      <x:c r="P6" s="4" t="inlineStr">
        <x:is>
          <x:t xml:space="preserve">some strains</x:t>
        </x:is>
      </x:c>
      <x:c r="Q6" s="4" t="inlineStr">
        <x:is>
          <x:t xml:space="preserve">HEPA vacuum + damp wipe if light</x:t>
        </x:is>
      </x:c>
      <x:c r="R6" s="4" t="inlineStr">
        <x:is>
          <x:t xml:space="preserve">green_powdery, round_colony, dusty_growth</x:t>
        </x:is>
      </x:c>
      <x:c r="S6" s="4" t="inlineStr">
        <x:is>
          <x:t xml:space="preserve">Aspergillus/Penicillium-like</x:t>
        </x:is>
      </x:c>
      <x:c r="T6" s="4" t="inlineStr">
        <x:is>
          <x:t xml:space="preserve">low-to-moderate</x:t>
        </x:is>
      </x:c>
      <x:c r="U6" s="4" t="inlineStr">
        <x:is>
          <x:t xml:space="preserve">allergenic + opportunistic infectious</x:t>
        </x:is>
      </x:c>
      <x:c r="V6" s="4" t="inlineStr">
        <x:is>
          <x:t xml:space="preserve">24-48 hrs with persistent humidity</x:t>
        </x:is>
      </x:c>
      <x:c r="W6" s="4" t="inlineStr">
        <x:is>
          <x:t xml:space="preserve">air + surface/bulk</x:t>
        </x:is>
      </x:c>
      <x:c r="X6" s="4" t="inlineStr">
        <x:is>
          <x:t xml:space="preserve">no</x:t>
        </x:is>
      </x:c>
      <x:c r="Y6" s="4" t="inlineStr">
        <x:is>
          <x:t xml:space="preserve">green, gray, powdery, circular</x:t>
        </x:is>
      </x:c>
      <x:c r="Z6" s="4" t="inlineStr">
        <x:is>
          <x:t xml:space="preserve">porous materials preferred; non-porous growth usually on possible via dust</x:t>
        </x:is>
      </x:c>
    </x:row>
    <x:row r="7">
      <x:c r="A7" s="4" t="inlineStr">
        <x:is>
          <x:t xml:space="preserve">Aspergillus versicolor</x:t>
        </x:is>
      </x:c>
      <x:c r="B7" s="4" t="inlineStr">
        <x:is>
          <x:t xml:space="preserve">Aspergillus</x:t>
        </x:is>
      </x:c>
      <x:c r="C7" s="4" t="inlineStr">
        <x:is>
          <x:t xml:space="preserve">Allergenic / Opportunistic</x:t>
        </x:is>
      </x:c>
      <x:c r="D7" s="4" t="inlineStr">
        <x:is>
          <x:t xml:space="preserve">green</x:t>
        </x:is>
      </x:c>
      <x:c r="E7" s="4" t="inlineStr">
        <x:is>
          <x:t xml:space="preserve">gray</x:t>
        </x:is>
      </x:c>
      <x:c r="F7" s="4" t="inlineStr">
        <x:is>
          <x:t xml:space="preserve">powdery</x:t>
        </x:is>
      </x:c>
      <x:c r="G7" s="4" t="inlineStr">
        <x:is>
          <x:t xml:space="preserve">circular</x:t>
        </x:is>
      </x:c>
      <x:c r="H7" s="4" t="inlineStr">
        <x:is>
          <x:t xml:space="preserve">drywall, insulation, dust</x:t>
        </x:is>
      </x:c>
      <x:c r="I7" s="4" t="inlineStr">
        <x:is>
          <x:t xml:space="preserve">HVAC, walls, dust reservoirs</x:t>
        </x:is>
      </x:c>
      <x:c r="J7" s="4" t="inlineStr">
        <x:is>
          <x:t xml:space="preserve">moderate</x:t>
        </x:is>
      </x:c>
      <x:c r="K7" s="4" t="inlineStr">
        <x:is>
          <x:t xml:space="preserve">60+</x:t>
        </x:is>
      </x:c>
      <x:c r="L7" s="4" t="inlineStr">
        <x:is>
          <x:t xml:space="preserve">20-37</x:t>
        </x:is>
      </x:c>
      <x:c r="M7" s="4" t="inlineStr">
        <x:is>
          <x:t xml:space="preserve">yes</x:t>
        </x:is>
      </x:c>
      <x:c r="N7" s="4" t="inlineStr">
        <x:is>
          <x:t xml:space="preserve">possible via dust</x:t>
        </x:is>
      </x:c>
      <x:c r="O7" s="4" t="inlineStr">
        <x:is>
          <x:t xml:space="preserve">moderate</x:t>
        </x:is>
      </x:c>
      <x:c r="P7" s="4" t="inlineStr">
        <x:is>
          <x:t xml:space="preserve">some strains</x:t>
        </x:is>
      </x:c>
      <x:c r="Q7" s="4" t="inlineStr">
        <x:is>
          <x:t xml:space="preserve">HEPA vacuum + damp wipe if light</x:t>
        </x:is>
      </x:c>
      <x:c r="R7" s="4" t="inlineStr">
        <x:is>
          <x:t xml:space="preserve">green_powdery, round_colony, dusty_growth</x:t>
        </x:is>
      </x:c>
      <x:c r="S7" s="4" t="inlineStr">
        <x:is>
          <x:t xml:space="preserve">Aspergillus/Penicillium-like</x:t>
        </x:is>
      </x:c>
      <x:c r="T7" s="4" t="inlineStr">
        <x:is>
          <x:t xml:space="preserve">low-to-moderate</x:t>
        </x:is>
      </x:c>
      <x:c r="U7" s="4" t="inlineStr">
        <x:is>
          <x:t xml:space="preserve">allergenic + opportunistic infectious</x:t>
        </x:is>
      </x:c>
      <x:c r="V7" s="4" t="inlineStr">
        <x:is>
          <x:t xml:space="preserve">24-48 hrs with persistent humidity</x:t>
        </x:is>
      </x:c>
      <x:c r="W7" s="4" t="inlineStr">
        <x:is>
          <x:t xml:space="preserve">air + surface/bulk</x:t>
        </x:is>
      </x:c>
      <x:c r="X7" s="4" t="inlineStr">
        <x:is>
          <x:t xml:space="preserve">no</x:t>
        </x:is>
      </x:c>
      <x:c r="Y7" s="4" t="inlineStr">
        <x:is>
          <x:t xml:space="preserve">green, gray, powdery, circular</x:t>
        </x:is>
      </x:c>
      <x:c r="Z7" s="4" t="inlineStr">
        <x:is>
          <x:t xml:space="preserve">porous materials preferred; non-porous growth usually on possible via dust</x:t>
        </x:is>
      </x:c>
    </x:row>
    <x:row r="8">
      <x:c r="A8" s="4" t="inlineStr">
        <x:is>
          <x:t xml:space="preserve">Aspergillus terreus</x:t>
        </x:is>
      </x:c>
      <x:c r="B8" s="4" t="inlineStr">
        <x:is>
          <x:t xml:space="preserve">Aspergillus</x:t>
        </x:is>
      </x:c>
      <x:c r="C8" s="4" t="inlineStr">
        <x:is>
          <x:t xml:space="preserve">Allergenic / Opportunistic</x:t>
        </x:is>
      </x:c>
      <x:c r="D8" s="4" t="inlineStr">
        <x:is>
          <x:t xml:space="preserve">green</x:t>
        </x:is>
      </x:c>
      <x:c r="E8" s="4" t="inlineStr">
        <x:is>
          <x:t xml:space="preserve">gray</x:t>
        </x:is>
      </x:c>
      <x:c r="F8" s="4" t="inlineStr">
        <x:is>
          <x:t xml:space="preserve">powdery</x:t>
        </x:is>
      </x:c>
      <x:c r="G8" s="4" t="inlineStr">
        <x:is>
          <x:t xml:space="preserve">circular</x:t>
        </x:is>
      </x:c>
      <x:c r="H8" s="4" t="inlineStr">
        <x:is>
          <x:t xml:space="preserve">drywall, insulation, dust</x:t>
        </x:is>
      </x:c>
      <x:c r="I8" s="4" t="inlineStr">
        <x:is>
          <x:t xml:space="preserve">HVAC, walls, dust reservoirs</x:t>
        </x:is>
      </x:c>
      <x:c r="J8" s="4" t="inlineStr">
        <x:is>
          <x:t xml:space="preserve">moderate</x:t>
        </x:is>
      </x:c>
      <x:c r="K8" s="4" t="inlineStr">
        <x:is>
          <x:t xml:space="preserve">60+</x:t>
        </x:is>
      </x:c>
      <x:c r="L8" s="4" t="inlineStr">
        <x:is>
          <x:t xml:space="preserve">20-37</x:t>
        </x:is>
      </x:c>
      <x:c r="M8" s="4" t="inlineStr">
        <x:is>
          <x:t xml:space="preserve">yes</x:t>
        </x:is>
      </x:c>
      <x:c r="N8" s="4" t="inlineStr">
        <x:is>
          <x:t xml:space="preserve">possible via dust</x:t>
        </x:is>
      </x:c>
      <x:c r="O8" s="4" t="inlineStr">
        <x:is>
          <x:t xml:space="preserve">moderate</x:t>
        </x:is>
      </x:c>
      <x:c r="P8" s="4" t="inlineStr">
        <x:is>
          <x:t xml:space="preserve">some strains</x:t>
        </x:is>
      </x:c>
      <x:c r="Q8" s="4" t="inlineStr">
        <x:is>
          <x:t xml:space="preserve">HEPA vacuum + damp wipe if light</x:t>
        </x:is>
      </x:c>
      <x:c r="R8" s="4" t="inlineStr">
        <x:is>
          <x:t xml:space="preserve">green_powdery, round_colony, dusty_growth</x:t>
        </x:is>
      </x:c>
      <x:c r="S8" s="4" t="inlineStr">
        <x:is>
          <x:t xml:space="preserve">Aspergillus/Penicillium-like</x:t>
        </x:is>
      </x:c>
      <x:c r="T8" s="4" t="inlineStr">
        <x:is>
          <x:t xml:space="preserve">low-to-moderate</x:t>
        </x:is>
      </x:c>
      <x:c r="U8" s="4" t="inlineStr">
        <x:is>
          <x:t xml:space="preserve">allergenic + opportunistic infectious</x:t>
        </x:is>
      </x:c>
      <x:c r="V8" s="4" t="inlineStr">
        <x:is>
          <x:t xml:space="preserve">24-48 hrs with persistent humidity</x:t>
        </x:is>
      </x:c>
      <x:c r="W8" s="4" t="inlineStr">
        <x:is>
          <x:t xml:space="preserve">air + surface/bulk</x:t>
        </x:is>
      </x:c>
      <x:c r="X8" s="4" t="inlineStr">
        <x:is>
          <x:t xml:space="preserve">no</x:t>
        </x:is>
      </x:c>
      <x:c r="Y8" s="4" t="inlineStr">
        <x:is>
          <x:t xml:space="preserve">green, gray, powdery, circular</x:t>
        </x:is>
      </x:c>
      <x:c r="Z8" s="4" t="inlineStr">
        <x:is>
          <x:t xml:space="preserve">porous materials preferred; non-porous growth usually on possible via dust</x:t>
        </x:is>
      </x:c>
    </x:row>
    <x:row r="9">
      <x:c r="A9" s="4" t="inlineStr">
        <x:is>
          <x:t xml:space="preserve">Aspergillus ochraceus</x:t>
        </x:is>
      </x:c>
      <x:c r="B9" s="4" t="inlineStr">
        <x:is>
          <x:t xml:space="preserve">Aspergillus</x:t>
        </x:is>
      </x:c>
      <x:c r="C9" s="4" t="inlineStr">
        <x:is>
          <x:t xml:space="preserve">Allergenic / Opportunistic</x:t>
        </x:is>
      </x:c>
      <x:c r="D9" s="4" t="inlineStr">
        <x:is>
          <x:t xml:space="preserve">green</x:t>
        </x:is>
      </x:c>
      <x:c r="E9" s="4" t="inlineStr">
        <x:is>
          <x:t xml:space="preserve">gray</x:t>
        </x:is>
      </x:c>
      <x:c r="F9" s="4" t="inlineStr">
        <x:is>
          <x:t xml:space="preserve">powdery</x:t>
        </x:is>
      </x:c>
      <x:c r="G9" s="4" t="inlineStr">
        <x:is>
          <x:t xml:space="preserve">circular</x:t>
        </x:is>
      </x:c>
      <x:c r="H9" s="4" t="inlineStr">
        <x:is>
          <x:t xml:space="preserve">drywall, insulation, dust</x:t>
        </x:is>
      </x:c>
      <x:c r="I9" s="4" t="inlineStr">
        <x:is>
          <x:t xml:space="preserve">HVAC, walls, dust reservoirs</x:t>
        </x:is>
      </x:c>
      <x:c r="J9" s="4" t="inlineStr">
        <x:is>
          <x:t xml:space="preserve">moderate</x:t>
        </x:is>
      </x:c>
      <x:c r="K9" s="4" t="inlineStr">
        <x:is>
          <x:t xml:space="preserve">60+</x:t>
        </x:is>
      </x:c>
      <x:c r="L9" s="4" t="inlineStr">
        <x:is>
          <x:t xml:space="preserve">20-37</x:t>
        </x:is>
      </x:c>
      <x:c r="M9" s="4" t="inlineStr">
        <x:is>
          <x:t xml:space="preserve">yes</x:t>
        </x:is>
      </x:c>
      <x:c r="N9" s="4" t="inlineStr">
        <x:is>
          <x:t xml:space="preserve">possible via dust</x:t>
        </x:is>
      </x:c>
      <x:c r="O9" s="4" t="inlineStr">
        <x:is>
          <x:t xml:space="preserve">moderate</x:t>
        </x:is>
      </x:c>
      <x:c r="P9" s="4" t="inlineStr">
        <x:is>
          <x:t xml:space="preserve">some strains</x:t>
        </x:is>
      </x:c>
      <x:c r="Q9" s="4" t="inlineStr">
        <x:is>
          <x:t xml:space="preserve">HEPA vacuum + damp wipe if light</x:t>
        </x:is>
      </x:c>
      <x:c r="R9" s="4" t="inlineStr">
        <x:is>
          <x:t xml:space="preserve">green_powdery, round_colony, dusty_growth</x:t>
        </x:is>
      </x:c>
      <x:c r="S9" s="4" t="inlineStr">
        <x:is>
          <x:t xml:space="preserve">Aspergillus/Penicillium-like</x:t>
        </x:is>
      </x:c>
      <x:c r="T9" s="4" t="inlineStr">
        <x:is>
          <x:t xml:space="preserve">low-to-moderate</x:t>
        </x:is>
      </x:c>
      <x:c r="U9" s="4" t="inlineStr">
        <x:is>
          <x:t xml:space="preserve">allergenic + opportunistic infectious</x:t>
        </x:is>
      </x:c>
      <x:c r="V9" s="4" t="inlineStr">
        <x:is>
          <x:t xml:space="preserve">24-48 hrs with persistent humidity</x:t>
        </x:is>
      </x:c>
      <x:c r="W9" s="4" t="inlineStr">
        <x:is>
          <x:t xml:space="preserve">air + surface/bulk</x:t>
        </x:is>
      </x:c>
      <x:c r="X9" s="4" t="inlineStr">
        <x:is>
          <x:t xml:space="preserve">no</x:t>
        </x:is>
      </x:c>
      <x:c r="Y9" s="4" t="inlineStr">
        <x:is>
          <x:t xml:space="preserve">green, gray, powdery, circular</x:t>
        </x:is>
      </x:c>
      <x:c r="Z9" s="4" t="inlineStr">
        <x:is>
          <x:t xml:space="preserve">porous materials preferred; non-porous growth usually on possible via dust</x:t>
        </x:is>
      </x:c>
    </x:row>
    <x:row r="10">
      <x:c r="A10" s="4" t="inlineStr">
        <x:is>
          <x:t xml:space="preserve">Aspergillus sydowii</x:t>
        </x:is>
      </x:c>
      <x:c r="B10" s="4" t="inlineStr">
        <x:is>
          <x:t xml:space="preserve">Aspergillus</x:t>
        </x:is>
      </x:c>
      <x:c r="C10" s="4" t="inlineStr">
        <x:is>
          <x:t xml:space="preserve">Allergenic / Opportunistic</x:t>
        </x:is>
      </x:c>
      <x:c r="D10" s="4" t="inlineStr">
        <x:is>
          <x:t xml:space="preserve">green</x:t>
        </x:is>
      </x:c>
      <x:c r="E10" s="4" t="inlineStr">
        <x:is>
          <x:t xml:space="preserve">gray</x:t>
        </x:is>
      </x:c>
      <x:c r="F10" s="4" t="inlineStr">
        <x:is>
          <x:t xml:space="preserve">powdery</x:t>
        </x:is>
      </x:c>
      <x:c r="G10" s="4" t="inlineStr">
        <x:is>
          <x:t xml:space="preserve">circular</x:t>
        </x:is>
      </x:c>
      <x:c r="H10" s="4" t="inlineStr">
        <x:is>
          <x:t xml:space="preserve">drywall, insulation, dust</x:t>
        </x:is>
      </x:c>
      <x:c r="I10" s="4" t="inlineStr">
        <x:is>
          <x:t xml:space="preserve">HVAC, walls, dust reservoirs</x:t>
        </x:is>
      </x:c>
      <x:c r="J10" s="4" t="inlineStr">
        <x:is>
          <x:t xml:space="preserve">moderate</x:t>
        </x:is>
      </x:c>
      <x:c r="K10" s="4" t="inlineStr">
        <x:is>
          <x:t xml:space="preserve">60+</x:t>
        </x:is>
      </x:c>
      <x:c r="L10" s="4" t="inlineStr">
        <x:is>
          <x:t xml:space="preserve">20-37</x:t>
        </x:is>
      </x:c>
      <x:c r="M10" s="4" t="inlineStr">
        <x:is>
          <x:t xml:space="preserve">yes</x:t>
        </x:is>
      </x:c>
      <x:c r="N10" s="4" t="inlineStr">
        <x:is>
          <x:t xml:space="preserve">possible via dust</x:t>
        </x:is>
      </x:c>
      <x:c r="O10" s="4" t="inlineStr">
        <x:is>
          <x:t xml:space="preserve">moderate</x:t>
        </x:is>
      </x:c>
      <x:c r="P10" s="4" t="inlineStr">
        <x:is>
          <x:t xml:space="preserve">some strains</x:t>
        </x:is>
      </x:c>
      <x:c r="Q10" s="4" t="inlineStr">
        <x:is>
          <x:t xml:space="preserve">HEPA vacuum + damp wipe if light</x:t>
        </x:is>
      </x:c>
      <x:c r="R10" s="4" t="inlineStr">
        <x:is>
          <x:t xml:space="preserve">green_powdery, round_colony, dusty_growth</x:t>
        </x:is>
      </x:c>
      <x:c r="S10" s="4" t="inlineStr">
        <x:is>
          <x:t xml:space="preserve">Aspergillus/Penicillium-like</x:t>
        </x:is>
      </x:c>
      <x:c r="T10" s="4" t="inlineStr">
        <x:is>
          <x:t xml:space="preserve">low-to-moderate</x:t>
        </x:is>
      </x:c>
      <x:c r="U10" s="4" t="inlineStr">
        <x:is>
          <x:t xml:space="preserve">allergenic + opportunistic infectious</x:t>
        </x:is>
      </x:c>
      <x:c r="V10" s="4" t="inlineStr">
        <x:is>
          <x:t xml:space="preserve">24-48 hrs with persistent humidity</x:t>
        </x:is>
      </x:c>
      <x:c r="W10" s="4" t="inlineStr">
        <x:is>
          <x:t xml:space="preserve">air + surface/bulk</x:t>
        </x:is>
      </x:c>
      <x:c r="X10" s="4" t="inlineStr">
        <x:is>
          <x:t xml:space="preserve">no</x:t>
        </x:is>
      </x:c>
      <x:c r="Y10" s="4" t="inlineStr">
        <x:is>
          <x:t xml:space="preserve">green, gray, powdery, circular</x:t>
        </x:is>
      </x:c>
      <x:c r="Z10" s="4" t="inlineStr">
        <x:is>
          <x:t xml:space="preserve">porous materials preferred; non-porous growth usually on possible via dust</x:t>
        </x:is>
      </x:c>
    </x:row>
    <x:row r="11">
      <x:c r="A11" s="4" t="inlineStr">
        <x:is>
          <x:t xml:space="preserve">Aspergillus glaucus</x:t>
        </x:is>
      </x:c>
      <x:c r="B11" s="4" t="inlineStr">
        <x:is>
          <x:t xml:space="preserve">Aspergillus</x:t>
        </x:is>
      </x:c>
      <x:c r="C11" s="4" t="inlineStr">
        <x:is>
          <x:t xml:space="preserve">Allergenic / Opportunistic</x:t>
        </x:is>
      </x:c>
      <x:c r="D11" s="4" t="inlineStr">
        <x:is>
          <x:t xml:space="preserve">green</x:t>
        </x:is>
      </x:c>
      <x:c r="E11" s="4" t="inlineStr">
        <x:is>
          <x:t xml:space="preserve">gray</x:t>
        </x:is>
      </x:c>
      <x:c r="F11" s="4" t="inlineStr">
        <x:is>
          <x:t xml:space="preserve">powdery</x:t>
        </x:is>
      </x:c>
      <x:c r="G11" s="4" t="inlineStr">
        <x:is>
          <x:t xml:space="preserve">circular</x:t>
        </x:is>
      </x:c>
      <x:c r="H11" s="4" t="inlineStr">
        <x:is>
          <x:t xml:space="preserve">drywall, insulation, dust</x:t>
        </x:is>
      </x:c>
      <x:c r="I11" s="4" t="inlineStr">
        <x:is>
          <x:t xml:space="preserve">HVAC, walls, dust reservoirs</x:t>
        </x:is>
      </x:c>
      <x:c r="J11" s="4" t="inlineStr">
        <x:is>
          <x:t xml:space="preserve">moderate</x:t>
        </x:is>
      </x:c>
      <x:c r="K11" s="4" t="inlineStr">
        <x:is>
          <x:t xml:space="preserve">60+</x:t>
        </x:is>
      </x:c>
      <x:c r="L11" s="4" t="inlineStr">
        <x:is>
          <x:t xml:space="preserve">20-37</x:t>
        </x:is>
      </x:c>
      <x:c r="M11" s="4" t="inlineStr">
        <x:is>
          <x:t xml:space="preserve">yes</x:t>
        </x:is>
      </x:c>
      <x:c r="N11" s="4" t="inlineStr">
        <x:is>
          <x:t xml:space="preserve">possible via dust</x:t>
        </x:is>
      </x:c>
      <x:c r="O11" s="4" t="inlineStr">
        <x:is>
          <x:t xml:space="preserve">moderate</x:t>
        </x:is>
      </x:c>
      <x:c r="P11" s="4" t="inlineStr">
        <x:is>
          <x:t xml:space="preserve">some strains</x:t>
        </x:is>
      </x:c>
      <x:c r="Q11" s="4" t="inlineStr">
        <x:is>
          <x:t xml:space="preserve">HEPA vacuum + damp wipe if light</x:t>
        </x:is>
      </x:c>
      <x:c r="R11" s="4" t="inlineStr">
        <x:is>
          <x:t xml:space="preserve">green_powdery, round_colony, dusty_growth</x:t>
        </x:is>
      </x:c>
      <x:c r="S11" s="4" t="inlineStr">
        <x:is>
          <x:t xml:space="preserve">Aspergillus/Penicillium-like</x:t>
        </x:is>
      </x:c>
      <x:c r="T11" s="4" t="inlineStr">
        <x:is>
          <x:t xml:space="preserve">low-to-moderate</x:t>
        </x:is>
      </x:c>
      <x:c r="U11" s="4" t="inlineStr">
        <x:is>
          <x:t xml:space="preserve">allergenic + opportunistic infectious</x:t>
        </x:is>
      </x:c>
      <x:c r="V11" s="4" t="inlineStr">
        <x:is>
          <x:t xml:space="preserve">24-48 hrs with persistent humidity</x:t>
        </x:is>
      </x:c>
      <x:c r="W11" s="4" t="inlineStr">
        <x:is>
          <x:t xml:space="preserve">air + surface/bulk</x:t>
        </x:is>
      </x:c>
      <x:c r="X11" s="4" t="inlineStr">
        <x:is>
          <x:t xml:space="preserve">no</x:t>
        </x:is>
      </x:c>
      <x:c r="Y11" s="4" t="inlineStr">
        <x:is>
          <x:t xml:space="preserve">green, gray, powdery, circular</x:t>
        </x:is>
      </x:c>
      <x:c r="Z11" s="4" t="inlineStr">
        <x:is>
          <x:t xml:space="preserve">porous materials preferred; non-porous growth usually on possible via dust</x:t>
        </x:is>
      </x:c>
    </x:row>
    <x:row r="12">
      <x:c r="A12" s="4" t="inlineStr">
        <x:is>
          <x:t xml:space="preserve">Aspergillus candidus</x:t>
        </x:is>
      </x:c>
      <x:c r="B12" s="4" t="inlineStr">
        <x:is>
          <x:t xml:space="preserve">Aspergillus</x:t>
        </x:is>
      </x:c>
      <x:c r="C12" s="4" t="inlineStr">
        <x:is>
          <x:t xml:space="preserve">Allergenic / Opportunistic</x:t>
        </x:is>
      </x:c>
      <x:c r="D12" s="4" t="inlineStr">
        <x:is>
          <x:t xml:space="preserve">green</x:t>
        </x:is>
      </x:c>
      <x:c r="E12" s="4" t="inlineStr">
        <x:is>
          <x:t xml:space="preserve">gray</x:t>
        </x:is>
      </x:c>
      <x:c r="F12" s="4" t="inlineStr">
        <x:is>
          <x:t xml:space="preserve">powdery</x:t>
        </x:is>
      </x:c>
      <x:c r="G12" s="4" t="inlineStr">
        <x:is>
          <x:t xml:space="preserve">circular</x:t>
        </x:is>
      </x:c>
      <x:c r="H12" s="4" t="inlineStr">
        <x:is>
          <x:t xml:space="preserve">drywall, insulation, dust</x:t>
        </x:is>
      </x:c>
      <x:c r="I12" s="4" t="inlineStr">
        <x:is>
          <x:t xml:space="preserve">HVAC, walls, dust reservoirs</x:t>
        </x:is>
      </x:c>
      <x:c r="J12" s="4" t="inlineStr">
        <x:is>
          <x:t xml:space="preserve">moderate</x:t>
        </x:is>
      </x:c>
      <x:c r="K12" s="4" t="inlineStr">
        <x:is>
          <x:t xml:space="preserve">60+</x:t>
        </x:is>
      </x:c>
      <x:c r="L12" s="4" t="inlineStr">
        <x:is>
          <x:t xml:space="preserve">20-37</x:t>
        </x:is>
      </x:c>
      <x:c r="M12" s="4" t="inlineStr">
        <x:is>
          <x:t xml:space="preserve">yes</x:t>
        </x:is>
      </x:c>
      <x:c r="N12" s="4" t="inlineStr">
        <x:is>
          <x:t xml:space="preserve">possible via dust</x:t>
        </x:is>
      </x:c>
      <x:c r="O12" s="4" t="inlineStr">
        <x:is>
          <x:t xml:space="preserve">moderate</x:t>
        </x:is>
      </x:c>
      <x:c r="P12" s="4" t="inlineStr">
        <x:is>
          <x:t xml:space="preserve">some strains</x:t>
        </x:is>
      </x:c>
      <x:c r="Q12" s="4" t="inlineStr">
        <x:is>
          <x:t xml:space="preserve">HEPA vacuum + damp wipe if light</x:t>
        </x:is>
      </x:c>
      <x:c r="R12" s="4" t="inlineStr">
        <x:is>
          <x:t xml:space="preserve">green_powdery, round_colony, dusty_growth</x:t>
        </x:is>
      </x:c>
      <x:c r="S12" s="4" t="inlineStr">
        <x:is>
          <x:t xml:space="preserve">Aspergillus/Penicillium-like</x:t>
        </x:is>
      </x:c>
      <x:c r="T12" s="4" t="inlineStr">
        <x:is>
          <x:t xml:space="preserve">low-to-moderate</x:t>
        </x:is>
      </x:c>
      <x:c r="U12" s="4" t="inlineStr">
        <x:is>
          <x:t xml:space="preserve">allergenic + opportunistic infectious</x:t>
        </x:is>
      </x:c>
      <x:c r="V12" s="4" t="inlineStr">
        <x:is>
          <x:t xml:space="preserve">24-48 hrs with persistent humidity</x:t>
        </x:is>
      </x:c>
      <x:c r="W12" s="4" t="inlineStr">
        <x:is>
          <x:t xml:space="preserve">air + surface/bulk</x:t>
        </x:is>
      </x:c>
      <x:c r="X12" s="4" t="inlineStr">
        <x:is>
          <x:t xml:space="preserve">no</x:t>
        </x:is>
      </x:c>
      <x:c r="Y12" s="4" t="inlineStr">
        <x:is>
          <x:t xml:space="preserve">green, gray, powdery, circular</x:t>
        </x:is>
      </x:c>
      <x:c r="Z12" s="4" t="inlineStr">
        <x:is>
          <x:t xml:space="preserve">porous materials preferred; non-porous growth usually on possible via dust</x:t>
        </x:is>
      </x:c>
    </x:row>
    <x:row r="13">
      <x:c r="A13" s="4" t="inlineStr">
        <x:is>
          <x:t xml:space="preserve">Aspergillus restrictus</x:t>
        </x:is>
      </x:c>
      <x:c r="B13" s="4" t="inlineStr">
        <x:is>
          <x:t xml:space="preserve">Aspergillus</x:t>
        </x:is>
      </x:c>
      <x:c r="C13" s="4" t="inlineStr">
        <x:is>
          <x:t xml:space="preserve">Allergenic / Opportunistic</x:t>
        </x:is>
      </x:c>
      <x:c r="D13" s="4" t="inlineStr">
        <x:is>
          <x:t xml:space="preserve">green</x:t>
        </x:is>
      </x:c>
      <x:c r="E13" s="4" t="inlineStr">
        <x:is>
          <x:t xml:space="preserve">gray</x:t>
        </x:is>
      </x:c>
      <x:c r="F13" s="4" t="inlineStr">
        <x:is>
          <x:t xml:space="preserve">powdery</x:t>
        </x:is>
      </x:c>
      <x:c r="G13" s="4" t="inlineStr">
        <x:is>
          <x:t xml:space="preserve">circular</x:t>
        </x:is>
      </x:c>
      <x:c r="H13" s="4" t="inlineStr">
        <x:is>
          <x:t xml:space="preserve">drywall, insulation, dust</x:t>
        </x:is>
      </x:c>
      <x:c r="I13" s="4" t="inlineStr">
        <x:is>
          <x:t xml:space="preserve">HVAC, walls, dust reservoirs</x:t>
        </x:is>
      </x:c>
      <x:c r="J13" s="4" t="inlineStr">
        <x:is>
          <x:t xml:space="preserve">moderate</x:t>
        </x:is>
      </x:c>
      <x:c r="K13" s="4" t="inlineStr">
        <x:is>
          <x:t xml:space="preserve">60+</x:t>
        </x:is>
      </x:c>
      <x:c r="L13" s="4" t="inlineStr">
        <x:is>
          <x:t xml:space="preserve">20-37</x:t>
        </x:is>
      </x:c>
      <x:c r="M13" s="4" t="inlineStr">
        <x:is>
          <x:t xml:space="preserve">yes</x:t>
        </x:is>
      </x:c>
      <x:c r="N13" s="4" t="inlineStr">
        <x:is>
          <x:t xml:space="preserve">possible via dust</x:t>
        </x:is>
      </x:c>
      <x:c r="O13" s="4" t="inlineStr">
        <x:is>
          <x:t xml:space="preserve">moderate</x:t>
        </x:is>
      </x:c>
      <x:c r="P13" s="4" t="inlineStr">
        <x:is>
          <x:t xml:space="preserve">some strains</x:t>
        </x:is>
      </x:c>
      <x:c r="Q13" s="4" t="inlineStr">
        <x:is>
          <x:t xml:space="preserve">HEPA vacuum + damp wipe if light</x:t>
        </x:is>
      </x:c>
      <x:c r="R13" s="4" t="inlineStr">
        <x:is>
          <x:t xml:space="preserve">green_powdery, round_colony, dusty_growth</x:t>
        </x:is>
      </x:c>
      <x:c r="S13" s="4" t="inlineStr">
        <x:is>
          <x:t xml:space="preserve">Aspergillus/Penicillium-like</x:t>
        </x:is>
      </x:c>
      <x:c r="T13" s="4" t="inlineStr">
        <x:is>
          <x:t xml:space="preserve">low-to-moderate</x:t>
        </x:is>
      </x:c>
      <x:c r="U13" s="4" t="inlineStr">
        <x:is>
          <x:t xml:space="preserve">allergenic + opportunistic infectious</x:t>
        </x:is>
      </x:c>
      <x:c r="V13" s="4" t="inlineStr">
        <x:is>
          <x:t xml:space="preserve">24-48 hrs with persistent humidity</x:t>
        </x:is>
      </x:c>
      <x:c r="W13" s="4" t="inlineStr">
        <x:is>
          <x:t xml:space="preserve">air + surface/bulk</x:t>
        </x:is>
      </x:c>
      <x:c r="X13" s="4" t="inlineStr">
        <x:is>
          <x:t xml:space="preserve">no</x:t>
        </x:is>
      </x:c>
      <x:c r="Y13" s="4" t="inlineStr">
        <x:is>
          <x:t xml:space="preserve">green, gray, powdery, circular</x:t>
        </x:is>
      </x:c>
      <x:c r="Z13" s="4" t="inlineStr">
        <x:is>
          <x:t xml:space="preserve">porous materials preferred; non-porous growth usually on possible via dust</x:t>
        </x:is>
      </x:c>
    </x:row>
    <x:row r="14">
      <x:c r="A14" s="4" t="inlineStr">
        <x:is>
          <x:t xml:space="preserve">Penicillium chrysogenum</x:t>
        </x:is>
      </x:c>
      <x:c r="B14" s="4" t="inlineStr">
        <x:is>
          <x:t xml:space="preserve">Penicillium</x:t>
        </x:is>
      </x:c>
      <x:c r="C14" s="4" t="inlineStr">
        <x:is>
          <x:t xml:space="preserve">Common indoor</x:t>
        </x:is>
      </x:c>
      <x:c r="D14" s="4" t="inlineStr">
        <x:is>
          <x:t xml:space="preserve">blue green</x:t>
        </x:is>
      </x:c>
      <x:c r="E14" s="4" t="inlineStr">
        <x:is>
          <x:t xml:space="preserve">white</x:t>
        </x:is>
      </x:c>
      <x:c r="F14" s="4" t="inlineStr">
        <x:is>
          <x:t xml:space="preserve">velvety</x:t>
        </x:is>
      </x:c>
      <x:c r="G14" s="4" t="inlineStr">
        <x:is>
          <x:t xml:space="preserve">spreading</x:t>
        </x:is>
      </x:c>
      <x:c r="H14" s="4" t="inlineStr">
        <x:is>
          <x:t xml:space="preserve">carpet, wallpaper, drywall</x:t>
        </x:is>
      </x:c>
      <x:c r="I14" s="4" t="inlineStr">
        <x:is>
          <x:t xml:space="preserve">basements, walls, stored materials</x:t>
        </x:is>
      </x:c>
      <x:c r="J14" s="4" t="inlineStr">
        <x:is>
          <x:t xml:space="preserve">moderate</x:t>
        </x:is>
      </x:c>
      <x:c r="K14" s="4" t="inlineStr">
        <x:is>
          <x:t xml:space="preserve">60+</x:t>
        </x:is>
      </x:c>
      <x:c r="L14" s="4" t="inlineStr">
        <x:is>
          <x:t xml:space="preserve">15-30</x:t>
        </x:is>
      </x:c>
      <x:c r="M14" s="4" t="inlineStr">
        <x:is>
          <x:t xml:space="preserve">yes</x:t>
        </x:is>
      </x:c>
      <x:c r="N14" s="4" t="inlineStr">
        <x:is>
          <x:t xml:space="preserve">possible via dust</x:t>
        </x:is>
      </x:c>
      <x:c r="O14" s="4" t="inlineStr">
        <x:is>
          <x:t xml:space="preserve">moderate</x:t>
        </x:is>
      </x:c>
      <x:c r="P14" s="4" t="inlineStr">
        <x:is>
          <x:t xml:space="preserve">some strains</x:t>
        </x:is>
      </x:c>
      <x:c r="Q14" s="4" t="inlineStr">
        <x:is>
          <x:t xml:space="preserve">dry area; remove damaged porous material if extensive</x:t>
        </x:is>
      </x:c>
      <x:c r="R14" s="4" t="inlineStr">
        <x:is>
          <x:t xml:space="preserve">blue_green_velvet, diffuse_edges</x:t>
        </x:is>
      </x:c>
      <x:c r="S14" s="4" t="inlineStr">
        <x:is>
          <x:t xml:space="preserve">Aspergillus/Penicillium-like</x:t>
        </x:is>
      </x:c>
      <x:c r="T14" s="4" t="inlineStr">
        <x:is>
          <x:t xml:space="preserve">low-to-moderate</x:t>
        </x:is>
      </x:c>
      <x:c r="U14" s="4" t="inlineStr">
        <x:is>
          <x:t xml:space="preserve">allergenic + opportunistic infectious</x:t>
        </x:is>
      </x:c>
      <x:c r="V14" s="4" t="inlineStr">
        <x:is>
          <x:t xml:space="preserve">24-48 hrs with persistent humidity</x:t>
        </x:is>
      </x:c>
      <x:c r="W14" s="4" t="inlineStr">
        <x:is>
          <x:t xml:space="preserve">air + surface/bulk</x:t>
        </x:is>
      </x:c>
      <x:c r="X14" s="4" t="inlineStr">
        <x:is>
          <x:t xml:space="preserve">no</x:t>
        </x:is>
      </x:c>
      <x:c r="Y14" s="4" t="inlineStr">
        <x:is>
          <x:t xml:space="preserve">blue green, white, velvety, spreading</x:t>
        </x:is>
      </x:c>
      <x:c r="Z14" s="4" t="inlineStr">
        <x:is>
          <x:t xml:space="preserve">porous materials preferred; non-porous growth usually on possible via dust</x:t>
        </x:is>
      </x:c>
    </x:row>
    <x:row r="15">
      <x:c r="A15" s="4" t="inlineStr">
        <x:is>
          <x:t xml:space="preserve">Penicillium expansum</x:t>
        </x:is>
      </x:c>
      <x:c r="B15" s="4" t="inlineStr">
        <x:is>
          <x:t xml:space="preserve">Penicillium</x:t>
        </x:is>
      </x:c>
      <x:c r="C15" s="4" t="inlineStr">
        <x:is>
          <x:t xml:space="preserve">Common indoor</x:t>
        </x:is>
      </x:c>
      <x:c r="D15" s="4" t="inlineStr">
        <x:is>
          <x:t xml:space="preserve">blue green</x:t>
        </x:is>
      </x:c>
      <x:c r="E15" s="4" t="inlineStr">
        <x:is>
          <x:t xml:space="preserve">white</x:t>
        </x:is>
      </x:c>
      <x:c r="F15" s="4" t="inlineStr">
        <x:is>
          <x:t xml:space="preserve">velvety</x:t>
        </x:is>
      </x:c>
      <x:c r="G15" s="4" t="inlineStr">
        <x:is>
          <x:t xml:space="preserve">spreading</x:t>
        </x:is>
      </x:c>
      <x:c r="H15" s="4" t="inlineStr">
        <x:is>
          <x:t xml:space="preserve">carpet, wallpaper, drywall</x:t>
        </x:is>
      </x:c>
      <x:c r="I15" s="4" t="inlineStr">
        <x:is>
          <x:t xml:space="preserve">basements, walls, stored materials</x:t>
        </x:is>
      </x:c>
      <x:c r="J15" s="4" t="inlineStr">
        <x:is>
          <x:t xml:space="preserve">moderate</x:t>
        </x:is>
      </x:c>
      <x:c r="K15" s="4" t="inlineStr">
        <x:is>
          <x:t xml:space="preserve">60+</x:t>
        </x:is>
      </x:c>
      <x:c r="L15" s="4" t="inlineStr">
        <x:is>
          <x:t xml:space="preserve">15-30</x:t>
        </x:is>
      </x:c>
      <x:c r="M15" s="4" t="inlineStr">
        <x:is>
          <x:t xml:space="preserve">yes</x:t>
        </x:is>
      </x:c>
      <x:c r="N15" s="4" t="inlineStr">
        <x:is>
          <x:t xml:space="preserve">possible via dust</x:t>
        </x:is>
      </x:c>
      <x:c r="O15" s="4" t="inlineStr">
        <x:is>
          <x:t xml:space="preserve">moderate</x:t>
        </x:is>
      </x:c>
      <x:c r="P15" s="4" t="inlineStr">
        <x:is>
          <x:t xml:space="preserve">some strains</x:t>
        </x:is>
      </x:c>
      <x:c r="Q15" s="4" t="inlineStr">
        <x:is>
          <x:t xml:space="preserve">dry area; remove damaged porous material if extensive</x:t>
        </x:is>
      </x:c>
      <x:c r="R15" s="4" t="inlineStr">
        <x:is>
          <x:t xml:space="preserve">blue_green_velvet, diffuse_edges</x:t>
        </x:is>
      </x:c>
      <x:c r="S15" s="4" t="inlineStr">
        <x:is>
          <x:t xml:space="preserve">Aspergillus/Penicillium-like</x:t>
        </x:is>
      </x:c>
      <x:c r="T15" s="4" t="inlineStr">
        <x:is>
          <x:t xml:space="preserve">low-to-moderate</x:t>
        </x:is>
      </x:c>
      <x:c r="U15" s="4" t="inlineStr">
        <x:is>
          <x:t xml:space="preserve">allergenic + opportunistic infectious</x:t>
        </x:is>
      </x:c>
      <x:c r="V15" s="4" t="inlineStr">
        <x:is>
          <x:t xml:space="preserve">24-48 hrs with persistent humidity</x:t>
        </x:is>
      </x:c>
      <x:c r="W15" s="4" t="inlineStr">
        <x:is>
          <x:t xml:space="preserve">air + surface/bulk</x:t>
        </x:is>
      </x:c>
      <x:c r="X15" s="4" t="inlineStr">
        <x:is>
          <x:t xml:space="preserve">no</x:t>
        </x:is>
      </x:c>
      <x:c r="Y15" s="4" t="inlineStr">
        <x:is>
          <x:t xml:space="preserve">blue green, white, velvety, spreading</x:t>
        </x:is>
      </x:c>
      <x:c r="Z15" s="4" t="inlineStr">
        <x:is>
          <x:t xml:space="preserve">porous materials preferred; non-porous growth usually on possible via dust</x:t>
        </x:is>
      </x:c>
    </x:row>
    <x:row r="16">
      <x:c r="A16" s="4" t="inlineStr">
        <x:is>
          <x:t xml:space="preserve">Penicillium citrinum</x:t>
        </x:is>
      </x:c>
      <x:c r="B16" s="4" t="inlineStr">
        <x:is>
          <x:t xml:space="preserve">Penicillium</x:t>
        </x:is>
      </x:c>
      <x:c r="C16" s="4" t="inlineStr">
        <x:is>
          <x:t xml:space="preserve">Common indoor</x:t>
        </x:is>
      </x:c>
      <x:c r="D16" s="4" t="inlineStr">
        <x:is>
          <x:t xml:space="preserve">blue green</x:t>
        </x:is>
      </x:c>
      <x:c r="E16" s="4" t="inlineStr">
        <x:is>
          <x:t xml:space="preserve">white</x:t>
        </x:is>
      </x:c>
      <x:c r="F16" s="4" t="inlineStr">
        <x:is>
          <x:t xml:space="preserve">velvety</x:t>
        </x:is>
      </x:c>
      <x:c r="G16" s="4" t="inlineStr">
        <x:is>
          <x:t xml:space="preserve">spreading</x:t>
        </x:is>
      </x:c>
      <x:c r="H16" s="4" t="inlineStr">
        <x:is>
          <x:t xml:space="preserve">carpet, wallpaper, drywall</x:t>
        </x:is>
      </x:c>
      <x:c r="I16" s="4" t="inlineStr">
        <x:is>
          <x:t xml:space="preserve">basements, walls, stored materials</x:t>
        </x:is>
      </x:c>
      <x:c r="J16" s="4" t="inlineStr">
        <x:is>
          <x:t xml:space="preserve">moderate</x:t>
        </x:is>
      </x:c>
      <x:c r="K16" s="4" t="inlineStr">
        <x:is>
          <x:t xml:space="preserve">60+</x:t>
        </x:is>
      </x:c>
      <x:c r="L16" s="4" t="inlineStr">
        <x:is>
          <x:t xml:space="preserve">15-30</x:t>
        </x:is>
      </x:c>
      <x:c r="M16" s="4" t="inlineStr">
        <x:is>
          <x:t xml:space="preserve">yes</x:t>
        </x:is>
      </x:c>
      <x:c r="N16" s="4" t="inlineStr">
        <x:is>
          <x:t xml:space="preserve">possible via dust</x:t>
        </x:is>
      </x:c>
      <x:c r="O16" s="4" t="inlineStr">
        <x:is>
          <x:t xml:space="preserve">moderate</x:t>
        </x:is>
      </x:c>
      <x:c r="P16" s="4" t="inlineStr">
        <x:is>
          <x:t xml:space="preserve">some strains</x:t>
        </x:is>
      </x:c>
      <x:c r="Q16" s="4" t="inlineStr">
        <x:is>
          <x:t xml:space="preserve">dry area; remove damaged porous material if extensive</x:t>
        </x:is>
      </x:c>
      <x:c r="R16" s="4" t="inlineStr">
        <x:is>
          <x:t xml:space="preserve">blue_green_velvet, diffuse_edges</x:t>
        </x:is>
      </x:c>
      <x:c r="S16" s="4" t="inlineStr">
        <x:is>
          <x:t xml:space="preserve">Aspergillus/Penicillium-like</x:t>
        </x:is>
      </x:c>
      <x:c r="T16" s="4" t="inlineStr">
        <x:is>
          <x:t xml:space="preserve">low-to-moderate</x:t>
        </x:is>
      </x:c>
      <x:c r="U16" s="4" t="inlineStr">
        <x:is>
          <x:t xml:space="preserve">allergenic + opportunistic infectious</x:t>
        </x:is>
      </x:c>
      <x:c r="V16" s="4" t="inlineStr">
        <x:is>
          <x:t xml:space="preserve">24-48 hrs with persistent humidity</x:t>
        </x:is>
      </x:c>
      <x:c r="W16" s="4" t="inlineStr">
        <x:is>
          <x:t xml:space="preserve">air + surface/bulk</x:t>
        </x:is>
      </x:c>
      <x:c r="X16" s="4" t="inlineStr">
        <x:is>
          <x:t xml:space="preserve">no</x:t>
        </x:is>
      </x:c>
      <x:c r="Y16" s="4" t="inlineStr">
        <x:is>
          <x:t xml:space="preserve">blue green, white, velvety, spreading</x:t>
        </x:is>
      </x:c>
      <x:c r="Z16" s="4" t="inlineStr">
        <x:is>
          <x:t xml:space="preserve">porous materials preferred; non-porous growth usually on possible via dust</x:t>
        </x:is>
      </x:c>
    </x:row>
    <x:row r="17">
      <x:c r="A17" s="4" t="inlineStr">
        <x:is>
          <x:t xml:space="preserve">Penicillium brevicompactum</x:t>
        </x:is>
      </x:c>
      <x:c r="B17" s="4" t="inlineStr">
        <x:is>
          <x:t xml:space="preserve">Penicillium</x:t>
        </x:is>
      </x:c>
      <x:c r="C17" s="4" t="inlineStr">
        <x:is>
          <x:t xml:space="preserve">Common indoor</x:t>
        </x:is>
      </x:c>
      <x:c r="D17" s="4" t="inlineStr">
        <x:is>
          <x:t xml:space="preserve">blue green</x:t>
        </x:is>
      </x:c>
      <x:c r="E17" s="4" t="inlineStr">
        <x:is>
          <x:t xml:space="preserve">white</x:t>
        </x:is>
      </x:c>
      <x:c r="F17" s="4" t="inlineStr">
        <x:is>
          <x:t xml:space="preserve">velvety</x:t>
        </x:is>
      </x:c>
      <x:c r="G17" s="4" t="inlineStr">
        <x:is>
          <x:t xml:space="preserve">spreading</x:t>
        </x:is>
      </x:c>
      <x:c r="H17" s="4" t="inlineStr">
        <x:is>
          <x:t xml:space="preserve">carpet, wallpaper, drywall</x:t>
        </x:is>
      </x:c>
      <x:c r="I17" s="4" t="inlineStr">
        <x:is>
          <x:t xml:space="preserve">basements, walls, stored materials</x:t>
        </x:is>
      </x:c>
      <x:c r="J17" s="4" t="inlineStr">
        <x:is>
          <x:t xml:space="preserve">moderate</x:t>
        </x:is>
      </x:c>
      <x:c r="K17" s="4" t="inlineStr">
        <x:is>
          <x:t xml:space="preserve">60+</x:t>
        </x:is>
      </x:c>
      <x:c r="L17" s="4" t="inlineStr">
        <x:is>
          <x:t xml:space="preserve">15-30</x:t>
        </x:is>
      </x:c>
      <x:c r="M17" s="4" t="inlineStr">
        <x:is>
          <x:t xml:space="preserve">yes</x:t>
        </x:is>
      </x:c>
      <x:c r="N17" s="4" t="inlineStr">
        <x:is>
          <x:t xml:space="preserve">possible via dust</x:t>
        </x:is>
      </x:c>
      <x:c r="O17" s="4" t="inlineStr">
        <x:is>
          <x:t xml:space="preserve">moderate</x:t>
        </x:is>
      </x:c>
      <x:c r="P17" s="4" t="inlineStr">
        <x:is>
          <x:t xml:space="preserve">some strains</x:t>
        </x:is>
      </x:c>
      <x:c r="Q17" s="4" t="inlineStr">
        <x:is>
          <x:t xml:space="preserve">dry area; remove damaged porous material if extensive</x:t>
        </x:is>
      </x:c>
      <x:c r="R17" s="4" t="inlineStr">
        <x:is>
          <x:t xml:space="preserve">blue_green_velvet, diffuse_edges</x:t>
        </x:is>
      </x:c>
      <x:c r="S17" s="4" t="inlineStr">
        <x:is>
          <x:t xml:space="preserve">Aspergillus/Penicillium-like</x:t>
        </x:is>
      </x:c>
      <x:c r="T17" s="4" t="inlineStr">
        <x:is>
          <x:t xml:space="preserve">low-to-moderate</x:t>
        </x:is>
      </x:c>
      <x:c r="U17" s="4" t="inlineStr">
        <x:is>
          <x:t xml:space="preserve">allergenic + opportunistic infectious</x:t>
        </x:is>
      </x:c>
      <x:c r="V17" s="4" t="inlineStr">
        <x:is>
          <x:t xml:space="preserve">24-48 hrs with persistent humidity</x:t>
        </x:is>
      </x:c>
      <x:c r="W17" s="4" t="inlineStr">
        <x:is>
          <x:t xml:space="preserve">air + surface/bulk</x:t>
        </x:is>
      </x:c>
      <x:c r="X17" s="4" t="inlineStr">
        <x:is>
          <x:t xml:space="preserve">no</x:t>
        </x:is>
      </x:c>
      <x:c r="Y17" s="4" t="inlineStr">
        <x:is>
          <x:t xml:space="preserve">blue green, white, velvety, spreading</x:t>
        </x:is>
      </x:c>
      <x:c r="Z17" s="4" t="inlineStr">
        <x:is>
          <x:t xml:space="preserve">porous materials preferred; non-porous growth usually on possible via dust</x:t>
        </x:is>
      </x:c>
    </x:row>
    <x:row r="18">
      <x:c r="A18" s="4" t="inlineStr">
        <x:is>
          <x:t xml:space="preserve">Penicillium commune</x:t>
        </x:is>
      </x:c>
      <x:c r="B18" s="4" t="inlineStr">
        <x:is>
          <x:t xml:space="preserve">Penicillium</x:t>
        </x:is>
      </x:c>
      <x:c r="C18" s="4" t="inlineStr">
        <x:is>
          <x:t xml:space="preserve">Common indoor</x:t>
        </x:is>
      </x:c>
      <x:c r="D18" s="4" t="inlineStr">
        <x:is>
          <x:t xml:space="preserve">blue green</x:t>
        </x:is>
      </x:c>
      <x:c r="E18" s="4" t="inlineStr">
        <x:is>
          <x:t xml:space="preserve">white</x:t>
        </x:is>
      </x:c>
      <x:c r="F18" s="4" t="inlineStr">
        <x:is>
          <x:t xml:space="preserve">velvety</x:t>
        </x:is>
      </x:c>
      <x:c r="G18" s="4" t="inlineStr">
        <x:is>
          <x:t xml:space="preserve">spreading</x:t>
        </x:is>
      </x:c>
      <x:c r="H18" s="4" t="inlineStr">
        <x:is>
          <x:t xml:space="preserve">carpet, wallpaper, drywall</x:t>
        </x:is>
      </x:c>
      <x:c r="I18" s="4" t="inlineStr">
        <x:is>
          <x:t xml:space="preserve">basements, walls, stored materials</x:t>
        </x:is>
      </x:c>
      <x:c r="J18" s="4" t="inlineStr">
        <x:is>
          <x:t xml:space="preserve">moderate</x:t>
        </x:is>
      </x:c>
      <x:c r="K18" s="4" t="inlineStr">
        <x:is>
          <x:t xml:space="preserve">60+</x:t>
        </x:is>
      </x:c>
      <x:c r="L18" s="4" t="inlineStr">
        <x:is>
          <x:t xml:space="preserve">15-30</x:t>
        </x:is>
      </x:c>
      <x:c r="M18" s="4" t="inlineStr">
        <x:is>
          <x:t xml:space="preserve">yes</x:t>
        </x:is>
      </x:c>
      <x:c r="N18" s="4" t="inlineStr">
        <x:is>
          <x:t xml:space="preserve">possible via dust</x:t>
        </x:is>
      </x:c>
      <x:c r="O18" s="4" t="inlineStr">
        <x:is>
          <x:t xml:space="preserve">moderate</x:t>
        </x:is>
      </x:c>
      <x:c r="P18" s="4" t="inlineStr">
        <x:is>
          <x:t xml:space="preserve">some strains</x:t>
        </x:is>
      </x:c>
      <x:c r="Q18" s="4" t="inlineStr">
        <x:is>
          <x:t xml:space="preserve">dry area; remove damaged porous material if extensive</x:t>
        </x:is>
      </x:c>
      <x:c r="R18" s="4" t="inlineStr">
        <x:is>
          <x:t xml:space="preserve">blue_green_velvet, diffuse_edges</x:t>
        </x:is>
      </x:c>
      <x:c r="S18" s="4" t="inlineStr">
        <x:is>
          <x:t xml:space="preserve">Aspergillus/Penicillium-like</x:t>
        </x:is>
      </x:c>
      <x:c r="T18" s="4" t="inlineStr">
        <x:is>
          <x:t xml:space="preserve">low-to-moderate</x:t>
        </x:is>
      </x:c>
      <x:c r="U18" s="4" t="inlineStr">
        <x:is>
          <x:t xml:space="preserve">allergenic + opportunistic infectious</x:t>
        </x:is>
      </x:c>
      <x:c r="V18" s="4" t="inlineStr">
        <x:is>
          <x:t xml:space="preserve">24-48 hrs with persistent humidity</x:t>
        </x:is>
      </x:c>
      <x:c r="W18" s="4" t="inlineStr">
        <x:is>
          <x:t xml:space="preserve">air + surface/bulk</x:t>
        </x:is>
      </x:c>
      <x:c r="X18" s="4" t="inlineStr">
        <x:is>
          <x:t xml:space="preserve">no</x:t>
        </x:is>
      </x:c>
      <x:c r="Y18" s="4" t="inlineStr">
        <x:is>
          <x:t xml:space="preserve">blue green, white, velvety, spreading</x:t>
        </x:is>
      </x:c>
      <x:c r="Z18" s="4" t="inlineStr">
        <x:is>
          <x:t xml:space="preserve">porous materials preferred; non-porous growth usually on possible via dust</x:t>
        </x:is>
      </x:c>
    </x:row>
    <x:row r="19">
      <x:c r="A19" s="4" t="inlineStr">
        <x:is>
          <x:t xml:space="preserve">Penicillium crustosum</x:t>
        </x:is>
      </x:c>
      <x:c r="B19" s="4" t="inlineStr">
        <x:is>
          <x:t xml:space="preserve">Penicillium</x:t>
        </x:is>
      </x:c>
      <x:c r="C19" s="4" t="inlineStr">
        <x:is>
          <x:t xml:space="preserve">Common indoor</x:t>
        </x:is>
      </x:c>
      <x:c r="D19" s="4" t="inlineStr">
        <x:is>
          <x:t xml:space="preserve">blue green</x:t>
        </x:is>
      </x:c>
      <x:c r="E19" s="4" t="inlineStr">
        <x:is>
          <x:t xml:space="preserve">white</x:t>
        </x:is>
      </x:c>
      <x:c r="F19" s="4" t="inlineStr">
        <x:is>
          <x:t xml:space="preserve">velvety</x:t>
        </x:is>
      </x:c>
      <x:c r="G19" s="4" t="inlineStr">
        <x:is>
          <x:t xml:space="preserve">spreading</x:t>
        </x:is>
      </x:c>
      <x:c r="H19" s="4" t="inlineStr">
        <x:is>
          <x:t xml:space="preserve">carpet, wallpaper, drywall</x:t>
        </x:is>
      </x:c>
      <x:c r="I19" s="4" t="inlineStr">
        <x:is>
          <x:t xml:space="preserve">basements, walls, stored materials</x:t>
        </x:is>
      </x:c>
      <x:c r="J19" s="4" t="inlineStr">
        <x:is>
          <x:t xml:space="preserve">moderate</x:t>
        </x:is>
      </x:c>
      <x:c r="K19" s="4" t="inlineStr">
        <x:is>
          <x:t xml:space="preserve">60+</x:t>
        </x:is>
      </x:c>
      <x:c r="L19" s="4" t="inlineStr">
        <x:is>
          <x:t xml:space="preserve">15-30</x:t>
        </x:is>
      </x:c>
      <x:c r="M19" s="4" t="inlineStr">
        <x:is>
          <x:t xml:space="preserve">yes</x:t>
        </x:is>
      </x:c>
      <x:c r="N19" s="4" t="inlineStr">
        <x:is>
          <x:t xml:space="preserve">possible via dust</x:t>
        </x:is>
      </x:c>
      <x:c r="O19" s="4" t="inlineStr">
        <x:is>
          <x:t xml:space="preserve">moderate</x:t>
        </x:is>
      </x:c>
      <x:c r="P19" s="4" t="inlineStr">
        <x:is>
          <x:t xml:space="preserve">some strains</x:t>
        </x:is>
      </x:c>
      <x:c r="Q19" s="4" t="inlineStr">
        <x:is>
          <x:t xml:space="preserve">dry area; remove damaged porous material if extensive</x:t>
        </x:is>
      </x:c>
      <x:c r="R19" s="4" t="inlineStr">
        <x:is>
          <x:t xml:space="preserve">blue_green_velvet, diffuse_edges</x:t>
        </x:is>
      </x:c>
      <x:c r="S19" s="4" t="inlineStr">
        <x:is>
          <x:t xml:space="preserve">Aspergillus/Penicillium-like</x:t>
        </x:is>
      </x:c>
      <x:c r="T19" s="4" t="inlineStr">
        <x:is>
          <x:t xml:space="preserve">low-to-moderate</x:t>
        </x:is>
      </x:c>
      <x:c r="U19" s="4" t="inlineStr">
        <x:is>
          <x:t xml:space="preserve">allergenic + opportunistic infectious</x:t>
        </x:is>
      </x:c>
      <x:c r="V19" s="4" t="inlineStr">
        <x:is>
          <x:t xml:space="preserve">24-48 hrs with persistent humidity</x:t>
        </x:is>
      </x:c>
      <x:c r="W19" s="4" t="inlineStr">
        <x:is>
          <x:t xml:space="preserve">air + surface/bulk</x:t>
        </x:is>
      </x:c>
      <x:c r="X19" s="4" t="inlineStr">
        <x:is>
          <x:t xml:space="preserve">no</x:t>
        </x:is>
      </x:c>
      <x:c r="Y19" s="4" t="inlineStr">
        <x:is>
          <x:t xml:space="preserve">blue green, white, velvety, spreading</x:t>
        </x:is>
      </x:c>
      <x:c r="Z19" s="4" t="inlineStr">
        <x:is>
          <x:t xml:space="preserve">porous materials preferred; non-porous growth usually on possible via dust</x:t>
        </x:is>
      </x:c>
    </x:row>
    <x:row r="20">
      <x:c r="A20" s="4" t="inlineStr">
        <x:is>
          <x:t xml:space="preserve">Penicillium aurantiogriseum</x:t>
        </x:is>
      </x:c>
      <x:c r="B20" s="4" t="inlineStr">
        <x:is>
          <x:t xml:space="preserve">Penicillium</x:t>
        </x:is>
      </x:c>
      <x:c r="C20" s="4" t="inlineStr">
        <x:is>
          <x:t xml:space="preserve">Common indoor</x:t>
        </x:is>
      </x:c>
      <x:c r="D20" s="4" t="inlineStr">
        <x:is>
          <x:t xml:space="preserve">blue green</x:t>
        </x:is>
      </x:c>
      <x:c r="E20" s="4" t="inlineStr">
        <x:is>
          <x:t xml:space="preserve">white</x:t>
        </x:is>
      </x:c>
      <x:c r="F20" s="4" t="inlineStr">
        <x:is>
          <x:t xml:space="preserve">velvety</x:t>
        </x:is>
      </x:c>
      <x:c r="G20" s="4" t="inlineStr">
        <x:is>
          <x:t xml:space="preserve">spreading</x:t>
        </x:is>
      </x:c>
      <x:c r="H20" s="4" t="inlineStr">
        <x:is>
          <x:t xml:space="preserve">carpet, wallpaper, drywall</x:t>
        </x:is>
      </x:c>
      <x:c r="I20" s="4" t="inlineStr">
        <x:is>
          <x:t xml:space="preserve">basements, walls, stored materials</x:t>
        </x:is>
      </x:c>
      <x:c r="J20" s="4" t="inlineStr">
        <x:is>
          <x:t xml:space="preserve">moderate</x:t>
        </x:is>
      </x:c>
      <x:c r="K20" s="4" t="inlineStr">
        <x:is>
          <x:t xml:space="preserve">60+</x:t>
        </x:is>
      </x:c>
      <x:c r="L20" s="4" t="inlineStr">
        <x:is>
          <x:t xml:space="preserve">15-30</x:t>
        </x:is>
      </x:c>
      <x:c r="M20" s="4" t="inlineStr">
        <x:is>
          <x:t xml:space="preserve">yes</x:t>
        </x:is>
      </x:c>
      <x:c r="N20" s="4" t="inlineStr">
        <x:is>
          <x:t xml:space="preserve">possible via dust</x:t>
        </x:is>
      </x:c>
      <x:c r="O20" s="4" t="inlineStr">
        <x:is>
          <x:t xml:space="preserve">moderate</x:t>
        </x:is>
      </x:c>
      <x:c r="P20" s="4" t="inlineStr">
        <x:is>
          <x:t xml:space="preserve">some strains</x:t>
        </x:is>
      </x:c>
      <x:c r="Q20" s="4" t="inlineStr">
        <x:is>
          <x:t xml:space="preserve">dry area; remove damaged porous material if extensive</x:t>
        </x:is>
      </x:c>
      <x:c r="R20" s="4" t="inlineStr">
        <x:is>
          <x:t xml:space="preserve">blue_green_velvet, diffuse_edges</x:t>
        </x:is>
      </x:c>
      <x:c r="S20" s="4" t="inlineStr">
        <x:is>
          <x:t xml:space="preserve">Aspergillus/Penicillium-like</x:t>
        </x:is>
      </x:c>
      <x:c r="T20" s="4" t="inlineStr">
        <x:is>
          <x:t xml:space="preserve">low-to-moderate</x:t>
        </x:is>
      </x:c>
      <x:c r="U20" s="4" t="inlineStr">
        <x:is>
          <x:t xml:space="preserve">allergenic + opportunistic infectious</x:t>
        </x:is>
      </x:c>
      <x:c r="V20" s="4" t="inlineStr">
        <x:is>
          <x:t xml:space="preserve">24-48 hrs with persistent humidity</x:t>
        </x:is>
      </x:c>
      <x:c r="W20" s="4" t="inlineStr">
        <x:is>
          <x:t xml:space="preserve">air + surface/bulk</x:t>
        </x:is>
      </x:c>
      <x:c r="X20" s="4" t="inlineStr">
        <x:is>
          <x:t xml:space="preserve">no</x:t>
        </x:is>
      </x:c>
      <x:c r="Y20" s="4" t="inlineStr">
        <x:is>
          <x:t xml:space="preserve">blue green, white, velvety, spreading</x:t>
        </x:is>
      </x:c>
      <x:c r="Z20" s="4" t="inlineStr">
        <x:is>
          <x:t xml:space="preserve">porous materials preferred; non-porous growth usually on possible via dust</x:t>
        </x:is>
      </x:c>
    </x:row>
    <x:row r="21">
      <x:c r="A21" s="4" t="inlineStr">
        <x:is>
          <x:t xml:space="preserve">Penicillium roqueforti</x:t>
        </x:is>
      </x:c>
      <x:c r="B21" s="4" t="inlineStr">
        <x:is>
          <x:t xml:space="preserve">Penicillium</x:t>
        </x:is>
      </x:c>
      <x:c r="C21" s="4" t="inlineStr">
        <x:is>
          <x:t xml:space="preserve">Common indoor</x:t>
        </x:is>
      </x:c>
      <x:c r="D21" s="4" t="inlineStr">
        <x:is>
          <x:t xml:space="preserve">blue green</x:t>
        </x:is>
      </x:c>
      <x:c r="E21" s="4" t="inlineStr">
        <x:is>
          <x:t xml:space="preserve">white</x:t>
        </x:is>
      </x:c>
      <x:c r="F21" s="4" t="inlineStr">
        <x:is>
          <x:t xml:space="preserve">velvety</x:t>
        </x:is>
      </x:c>
      <x:c r="G21" s="4" t="inlineStr">
        <x:is>
          <x:t xml:space="preserve">spreading</x:t>
        </x:is>
      </x:c>
      <x:c r="H21" s="4" t="inlineStr">
        <x:is>
          <x:t xml:space="preserve">carpet, wallpaper, drywall</x:t>
        </x:is>
      </x:c>
      <x:c r="I21" s="4" t="inlineStr">
        <x:is>
          <x:t xml:space="preserve">basements, walls, stored materials</x:t>
        </x:is>
      </x:c>
      <x:c r="J21" s="4" t="inlineStr">
        <x:is>
          <x:t xml:space="preserve">moderate</x:t>
        </x:is>
      </x:c>
      <x:c r="K21" s="4" t="inlineStr">
        <x:is>
          <x:t xml:space="preserve">60+</x:t>
        </x:is>
      </x:c>
      <x:c r="L21" s="4" t="inlineStr">
        <x:is>
          <x:t xml:space="preserve">15-30</x:t>
        </x:is>
      </x:c>
      <x:c r="M21" s="4" t="inlineStr">
        <x:is>
          <x:t xml:space="preserve">yes</x:t>
        </x:is>
      </x:c>
      <x:c r="N21" s="4" t="inlineStr">
        <x:is>
          <x:t xml:space="preserve">possible via dust</x:t>
        </x:is>
      </x:c>
      <x:c r="O21" s="4" t="inlineStr">
        <x:is>
          <x:t xml:space="preserve">moderate</x:t>
        </x:is>
      </x:c>
      <x:c r="P21" s="4" t="inlineStr">
        <x:is>
          <x:t xml:space="preserve">some strains</x:t>
        </x:is>
      </x:c>
      <x:c r="Q21" s="4" t="inlineStr">
        <x:is>
          <x:t xml:space="preserve">dry area; remove damaged porous material if extensive</x:t>
        </x:is>
      </x:c>
      <x:c r="R21" s="4" t="inlineStr">
        <x:is>
          <x:t xml:space="preserve">blue_green_velvet, diffuse_edges</x:t>
        </x:is>
      </x:c>
      <x:c r="S21" s="4" t="inlineStr">
        <x:is>
          <x:t xml:space="preserve">Aspergillus/Penicillium-like</x:t>
        </x:is>
      </x:c>
      <x:c r="T21" s="4" t="inlineStr">
        <x:is>
          <x:t xml:space="preserve">low-to-moderate</x:t>
        </x:is>
      </x:c>
      <x:c r="U21" s="4" t="inlineStr">
        <x:is>
          <x:t xml:space="preserve">allergenic + opportunistic infectious</x:t>
        </x:is>
      </x:c>
      <x:c r="V21" s="4" t="inlineStr">
        <x:is>
          <x:t xml:space="preserve">24-48 hrs with persistent humidity</x:t>
        </x:is>
      </x:c>
      <x:c r="W21" s="4" t="inlineStr">
        <x:is>
          <x:t xml:space="preserve">air + surface/bulk</x:t>
        </x:is>
      </x:c>
      <x:c r="X21" s="4" t="inlineStr">
        <x:is>
          <x:t xml:space="preserve">no</x:t>
        </x:is>
      </x:c>
      <x:c r="Y21" s="4" t="inlineStr">
        <x:is>
          <x:t xml:space="preserve">blue green, white, velvety, spreading</x:t>
        </x:is>
      </x:c>
      <x:c r="Z21" s="4" t="inlineStr">
        <x:is>
          <x:t xml:space="preserve">porous materials preferred; non-porous growth usually on possible via dust</x:t>
        </x:is>
      </x:c>
    </x:row>
    <x:row r="22">
      <x:c r="A22" s="4" t="inlineStr">
        <x:is>
          <x:t xml:space="preserve">Cladosporium cladosporioides</x:t>
        </x:is>
      </x:c>
      <x:c r="B22" s="4" t="inlineStr">
        <x:is>
          <x:t xml:space="preserve">Cladosporium</x:t>
        </x:is>
      </x:c>
      <x:c r="C22" s="4" t="inlineStr">
        <x:is>
          <x:t xml:space="preserve">Common indoor</x:t>
        </x:is>
      </x:c>
      <x:c r="D22" s="4" t="inlineStr">
        <x:is>
          <x:t xml:space="preserve">olive green</x:t>
        </x:is>
      </x:c>
      <x:c r="E22" s="4" t="inlineStr">
        <x:is>
          <x:t xml:space="preserve">brown</x:t>
        </x:is>
      </x:c>
      <x:c r="F22" s="4" t="inlineStr">
        <x:is>
          <x:t xml:space="preserve">powdery</x:t>
        </x:is>
      </x:c>
      <x:c r="G22" s="4" t="inlineStr">
        <x:is>
          <x:t xml:space="preserve">spotty</x:t>
        </x:is>
      </x:c>
      <x:c r="H22" s="4" t="inlineStr">
        <x:is>
          <x:t xml:space="preserve">wood, textiles, painted surfaces</x:t>
        </x:is>
      </x:c>
      <x:c r="I22" s="4" t="inlineStr">
        <x:is>
          <x:t xml:space="preserve">window sashes, HVAC, bathrooms</x:t>
        </x:is>
      </x:c>
      <x:c r="J22" s="4" t="inlineStr">
        <x:is>
          <x:t xml:space="preserve">moderate</x:t>
        </x:is>
      </x:c>
      <x:c r="K22" s="4" t="inlineStr">
        <x:is>
          <x:t xml:space="preserve">60+</x:t>
        </x:is>
      </x:c>
      <x:c r="L22" s="4" t="inlineStr">
        <x:is>
          <x:t xml:space="preserve">10-30</x:t>
        </x:is>
      </x:c>
      <x:c r="M22" s="4" t="inlineStr">
        <x:is>
          <x:t xml:space="preserve">yes</x:t>
        </x:is>
      </x:c>
      <x:c r="N22" s="4" t="inlineStr">
        <x:is>
          <x:t xml:space="preserve">possible on dirty surfaces</x:t>
        </x:is>
      </x:c>
      <x:c r="O22" s="4" t="inlineStr">
        <x:is>
          <x:t xml:space="preserve">low to moderate</x:t>
        </x:is>
      </x:c>
      <x:c r="P22" s="4" t="inlineStr">
        <x:is>
          <x:t xml:space="preserve">rare</x:t>
        </x:is>
      </x:c>
      <x:c r="Q22" s="4" t="inlineStr">
        <x:is>
          <x:t xml:space="preserve">clean visible growth and reduce condensation</x:t>
        </x:is>
      </x:c>
      <x:c r="R22" s="4" t="inlineStr">
        <x:is>
          <x:t xml:space="preserve">olive_spots, pepper_like_colonies</x:t>
        </x:is>
      </x:c>
      <x:c r="S22" s="4" t="inlineStr">
        <x:is>
          <x:t xml:space="preserve">Cladosporium common-allergen group</x:t>
        </x:is>
      </x:c>
      <x:c r="T22" s="4" t="inlineStr">
        <x:is>
          <x:t xml:space="preserve">moderate</x:t>
        </x:is>
      </x:c>
      <x:c r="U22" s="4" t="inlineStr">
        <x:is>
          <x:t xml:space="preserve">common indoor / allergen potential</x:t>
        </x:is>
      </x:c>
      <x:c r="V22" s="4" t="inlineStr">
        <x:is>
          <x:t xml:space="preserve">24-48 hrs with persistent humidity</x:t>
        </x:is>
      </x:c>
      <x:c r="W22" s="4" t="inlineStr">
        <x:is>
          <x:t xml:space="preserve">air + surface/bulk</x:t>
        </x:is>
      </x:c>
      <x:c r="X22" s="4" t="inlineStr">
        <x:is>
          <x:t xml:space="preserve">no</x:t>
        </x:is>
      </x:c>
      <x:c r="Y22" s="4" t="inlineStr">
        <x:is>
          <x:t xml:space="preserve">olive green, brown, powdery, spotty</x:t>
        </x:is>
      </x:c>
      <x:c r="Z22" s="4" t="inlineStr">
        <x:is>
          <x:t xml:space="preserve">porous materials preferred; non-porous growth usually on possible on dirty surfaces</x:t>
        </x:is>
      </x:c>
    </x:row>
    <x:row r="23">
      <x:c r="A23" s="4" t="inlineStr">
        <x:is>
          <x:t xml:space="preserve">Cladosporium herbarum</x:t>
        </x:is>
      </x:c>
      <x:c r="B23" s="4" t="inlineStr">
        <x:is>
          <x:t xml:space="preserve">Cladosporium</x:t>
        </x:is>
      </x:c>
      <x:c r="C23" s="4" t="inlineStr">
        <x:is>
          <x:t xml:space="preserve">Common indoor</x:t>
        </x:is>
      </x:c>
      <x:c r="D23" s="4" t="inlineStr">
        <x:is>
          <x:t xml:space="preserve">olive green</x:t>
        </x:is>
      </x:c>
      <x:c r="E23" s="4" t="inlineStr">
        <x:is>
          <x:t xml:space="preserve">brown</x:t>
        </x:is>
      </x:c>
      <x:c r="F23" s="4" t="inlineStr">
        <x:is>
          <x:t xml:space="preserve">powdery</x:t>
        </x:is>
      </x:c>
      <x:c r="G23" s="4" t="inlineStr">
        <x:is>
          <x:t xml:space="preserve">spotty</x:t>
        </x:is>
      </x:c>
      <x:c r="H23" s="4" t="inlineStr">
        <x:is>
          <x:t xml:space="preserve">wood, textiles, painted surfaces</x:t>
        </x:is>
      </x:c>
      <x:c r="I23" s="4" t="inlineStr">
        <x:is>
          <x:t xml:space="preserve">window sashes, HVAC, bathrooms</x:t>
        </x:is>
      </x:c>
      <x:c r="J23" s="4" t="inlineStr">
        <x:is>
          <x:t xml:space="preserve">moderate</x:t>
        </x:is>
      </x:c>
      <x:c r="K23" s="4" t="inlineStr">
        <x:is>
          <x:t xml:space="preserve">60+</x:t>
        </x:is>
      </x:c>
      <x:c r="L23" s="4" t="inlineStr">
        <x:is>
          <x:t xml:space="preserve">10-30</x:t>
        </x:is>
      </x:c>
      <x:c r="M23" s="4" t="inlineStr">
        <x:is>
          <x:t xml:space="preserve">yes</x:t>
        </x:is>
      </x:c>
      <x:c r="N23" s="4" t="inlineStr">
        <x:is>
          <x:t xml:space="preserve">possible on dirty surfaces</x:t>
        </x:is>
      </x:c>
      <x:c r="O23" s="4" t="inlineStr">
        <x:is>
          <x:t xml:space="preserve">low to moderate</x:t>
        </x:is>
      </x:c>
      <x:c r="P23" s="4" t="inlineStr">
        <x:is>
          <x:t xml:space="preserve">rare</x:t>
        </x:is>
      </x:c>
      <x:c r="Q23" s="4" t="inlineStr">
        <x:is>
          <x:t xml:space="preserve">clean visible growth and reduce condensation</x:t>
        </x:is>
      </x:c>
      <x:c r="R23" s="4" t="inlineStr">
        <x:is>
          <x:t xml:space="preserve">olive_spots, pepper_like_colonies</x:t>
        </x:is>
      </x:c>
      <x:c r="S23" s="4" t="inlineStr">
        <x:is>
          <x:t xml:space="preserve">Cladosporium common-allergen group</x:t>
        </x:is>
      </x:c>
      <x:c r="T23" s="4" t="inlineStr">
        <x:is>
          <x:t xml:space="preserve">moderate</x:t>
        </x:is>
      </x:c>
      <x:c r="U23" s="4" t="inlineStr">
        <x:is>
          <x:t xml:space="preserve">common indoor / allergen potential</x:t>
        </x:is>
      </x:c>
      <x:c r="V23" s="4" t="inlineStr">
        <x:is>
          <x:t xml:space="preserve">24-48 hrs with persistent humidity</x:t>
        </x:is>
      </x:c>
      <x:c r="W23" s="4" t="inlineStr">
        <x:is>
          <x:t xml:space="preserve">air + surface/bulk</x:t>
        </x:is>
      </x:c>
      <x:c r="X23" s="4" t="inlineStr">
        <x:is>
          <x:t xml:space="preserve">no</x:t>
        </x:is>
      </x:c>
      <x:c r="Y23" s="4" t="inlineStr">
        <x:is>
          <x:t xml:space="preserve">olive green, brown, powdery, spotty</x:t>
        </x:is>
      </x:c>
      <x:c r="Z23" s="4" t="inlineStr">
        <x:is>
          <x:t xml:space="preserve">porous materials preferred; non-porous growth usually on possible on dirty surfaces</x:t>
        </x:is>
      </x:c>
    </x:row>
    <x:row r="24">
      <x:c r="A24" s="4" t="inlineStr">
        <x:is>
          <x:t xml:space="preserve">Cladosporium sphaerospermum</x:t>
        </x:is>
      </x:c>
      <x:c r="B24" s="4" t="inlineStr">
        <x:is>
          <x:t xml:space="preserve">Cladosporium</x:t>
        </x:is>
      </x:c>
      <x:c r="C24" s="4" t="inlineStr">
        <x:is>
          <x:t xml:space="preserve">Common indoor</x:t>
        </x:is>
      </x:c>
      <x:c r="D24" s="4" t="inlineStr">
        <x:is>
          <x:t xml:space="preserve">olive green</x:t>
        </x:is>
      </x:c>
      <x:c r="E24" s="4" t="inlineStr">
        <x:is>
          <x:t xml:space="preserve">brown</x:t>
        </x:is>
      </x:c>
      <x:c r="F24" s="4" t="inlineStr">
        <x:is>
          <x:t xml:space="preserve">powdery</x:t>
        </x:is>
      </x:c>
      <x:c r="G24" s="4" t="inlineStr">
        <x:is>
          <x:t xml:space="preserve">spotty</x:t>
        </x:is>
      </x:c>
      <x:c r="H24" s="4" t="inlineStr">
        <x:is>
          <x:t xml:space="preserve">wood, textiles, painted surfaces</x:t>
        </x:is>
      </x:c>
      <x:c r="I24" s="4" t="inlineStr">
        <x:is>
          <x:t xml:space="preserve">window sashes, HVAC, bathrooms</x:t>
        </x:is>
      </x:c>
      <x:c r="J24" s="4" t="inlineStr">
        <x:is>
          <x:t xml:space="preserve">moderate</x:t>
        </x:is>
      </x:c>
      <x:c r="K24" s="4" t="inlineStr">
        <x:is>
          <x:t xml:space="preserve">60+</x:t>
        </x:is>
      </x:c>
      <x:c r="L24" s="4" t="inlineStr">
        <x:is>
          <x:t xml:space="preserve">10-30</x:t>
        </x:is>
      </x:c>
      <x:c r="M24" s="4" t="inlineStr">
        <x:is>
          <x:t xml:space="preserve">yes</x:t>
        </x:is>
      </x:c>
      <x:c r="N24" s="4" t="inlineStr">
        <x:is>
          <x:t xml:space="preserve">possible on dirty surfaces</x:t>
        </x:is>
      </x:c>
      <x:c r="O24" s="4" t="inlineStr">
        <x:is>
          <x:t xml:space="preserve">low to moderate</x:t>
        </x:is>
      </x:c>
      <x:c r="P24" s="4" t="inlineStr">
        <x:is>
          <x:t xml:space="preserve">rare</x:t>
        </x:is>
      </x:c>
      <x:c r="Q24" s="4" t="inlineStr">
        <x:is>
          <x:t xml:space="preserve">clean visible growth and reduce condensation</x:t>
        </x:is>
      </x:c>
      <x:c r="R24" s="4" t="inlineStr">
        <x:is>
          <x:t xml:space="preserve">olive_spots, pepper_like_colonies</x:t>
        </x:is>
      </x:c>
      <x:c r="S24" s="4" t="inlineStr">
        <x:is>
          <x:t xml:space="preserve">Cladosporium common-allergen group</x:t>
        </x:is>
      </x:c>
      <x:c r="T24" s="4" t="inlineStr">
        <x:is>
          <x:t xml:space="preserve">moderate</x:t>
        </x:is>
      </x:c>
      <x:c r="U24" s="4" t="inlineStr">
        <x:is>
          <x:t xml:space="preserve">common indoor / allergen potential</x:t>
        </x:is>
      </x:c>
      <x:c r="V24" s="4" t="inlineStr">
        <x:is>
          <x:t xml:space="preserve">24-48 hrs with persistent humidity</x:t>
        </x:is>
      </x:c>
      <x:c r="W24" s="4" t="inlineStr">
        <x:is>
          <x:t xml:space="preserve">air + surface/bulk</x:t>
        </x:is>
      </x:c>
      <x:c r="X24" s="4" t="inlineStr">
        <x:is>
          <x:t xml:space="preserve">no</x:t>
        </x:is>
      </x:c>
      <x:c r="Y24" s="4" t="inlineStr">
        <x:is>
          <x:t xml:space="preserve">olive green, brown, powdery, spotty</x:t>
        </x:is>
      </x:c>
      <x:c r="Z24" s="4" t="inlineStr">
        <x:is>
          <x:t xml:space="preserve">porous materials preferred; non-porous growth usually on possible on dirty surfaces</x:t>
        </x:is>
      </x:c>
    </x:row>
    <x:row r="25">
      <x:c r="A25" s="4" t="inlineStr">
        <x:is>
          <x:t xml:space="preserve">Cladosporium oxysporum</x:t>
        </x:is>
      </x:c>
      <x:c r="B25" s="4" t="inlineStr">
        <x:is>
          <x:t xml:space="preserve">Cladosporium</x:t>
        </x:is>
      </x:c>
      <x:c r="C25" s="4" t="inlineStr">
        <x:is>
          <x:t xml:space="preserve">Common indoor</x:t>
        </x:is>
      </x:c>
      <x:c r="D25" s="4" t="inlineStr">
        <x:is>
          <x:t xml:space="preserve">olive green</x:t>
        </x:is>
      </x:c>
      <x:c r="E25" s="4" t="inlineStr">
        <x:is>
          <x:t xml:space="preserve">brown</x:t>
        </x:is>
      </x:c>
      <x:c r="F25" s="4" t="inlineStr">
        <x:is>
          <x:t xml:space="preserve">powdery</x:t>
        </x:is>
      </x:c>
      <x:c r="G25" s="4" t="inlineStr">
        <x:is>
          <x:t xml:space="preserve">spotty</x:t>
        </x:is>
      </x:c>
      <x:c r="H25" s="4" t="inlineStr">
        <x:is>
          <x:t xml:space="preserve">wood, textiles, painted surfaces</x:t>
        </x:is>
      </x:c>
      <x:c r="I25" s="4" t="inlineStr">
        <x:is>
          <x:t xml:space="preserve">window sashes, HVAC, bathrooms</x:t>
        </x:is>
      </x:c>
      <x:c r="J25" s="4" t="inlineStr">
        <x:is>
          <x:t xml:space="preserve">moderate</x:t>
        </x:is>
      </x:c>
      <x:c r="K25" s="4" t="inlineStr">
        <x:is>
          <x:t xml:space="preserve">60+</x:t>
        </x:is>
      </x:c>
      <x:c r="L25" s="4" t="inlineStr">
        <x:is>
          <x:t xml:space="preserve">10-30</x:t>
        </x:is>
      </x:c>
      <x:c r="M25" s="4" t="inlineStr">
        <x:is>
          <x:t xml:space="preserve">yes</x:t>
        </x:is>
      </x:c>
      <x:c r="N25" s="4" t="inlineStr">
        <x:is>
          <x:t xml:space="preserve">possible on dirty surfaces</x:t>
        </x:is>
      </x:c>
      <x:c r="O25" s="4" t="inlineStr">
        <x:is>
          <x:t xml:space="preserve">low to moderate</x:t>
        </x:is>
      </x:c>
      <x:c r="P25" s="4" t="inlineStr">
        <x:is>
          <x:t xml:space="preserve">rare</x:t>
        </x:is>
      </x:c>
      <x:c r="Q25" s="4" t="inlineStr">
        <x:is>
          <x:t xml:space="preserve">clean visible growth and reduce condensation</x:t>
        </x:is>
      </x:c>
      <x:c r="R25" s="4" t="inlineStr">
        <x:is>
          <x:t xml:space="preserve">olive_spots, pepper_like_colonies</x:t>
        </x:is>
      </x:c>
      <x:c r="S25" s="4" t="inlineStr">
        <x:is>
          <x:t xml:space="preserve">Cladosporium common-allergen group</x:t>
        </x:is>
      </x:c>
      <x:c r="T25" s="4" t="inlineStr">
        <x:is>
          <x:t xml:space="preserve">moderate</x:t>
        </x:is>
      </x:c>
      <x:c r="U25" s="4" t="inlineStr">
        <x:is>
          <x:t xml:space="preserve">common indoor / allergen potential</x:t>
        </x:is>
      </x:c>
      <x:c r="V25" s="4" t="inlineStr">
        <x:is>
          <x:t xml:space="preserve">24-48 hrs with persistent humidity</x:t>
        </x:is>
      </x:c>
      <x:c r="W25" s="4" t="inlineStr">
        <x:is>
          <x:t xml:space="preserve">air + surface/bulk</x:t>
        </x:is>
      </x:c>
      <x:c r="X25" s="4" t="inlineStr">
        <x:is>
          <x:t xml:space="preserve">no</x:t>
        </x:is>
      </x:c>
      <x:c r="Y25" s="4" t="inlineStr">
        <x:is>
          <x:t xml:space="preserve">olive green, brown, powdery, spotty</x:t>
        </x:is>
      </x:c>
      <x:c r="Z25" s="4" t="inlineStr">
        <x:is>
          <x:t xml:space="preserve">porous materials preferred; non-porous growth usually on possible on dirty surfaces</x:t>
        </x:is>
      </x:c>
    </x:row>
    <x:row r="26">
      <x:c r="A26" s="4" t="inlineStr">
        <x:is>
          <x:t xml:space="preserve">Alternaria alternata</x:t>
        </x:is>
      </x:c>
      <x:c r="B26" s="4" t="inlineStr">
        <x:is>
          <x:t xml:space="preserve">Alternaria</x:t>
        </x:is>
      </x:c>
      <x:c r="C26" s="4" t="inlineStr">
        <x:is>
          <x:t xml:space="preserve">Allergenic</x:t>
        </x:is>
      </x:c>
      <x:c r="D26" s="4" t="inlineStr">
        <x:is>
          <x:t xml:space="preserve">dark brown</x:t>
        </x:is>
      </x:c>
      <x:c r="E26" s="4" t="inlineStr">
        <x:is>
          <x:t xml:space="preserve">olive</x:t>
        </x:is>
      </x:c>
      <x:c r="F26" s="4" t="inlineStr">
        <x:is>
          <x:t xml:space="preserve">velvety</x:t>
        </x:is>
      </x:c>
      <x:c r="G26" s="4" t="inlineStr">
        <x:is>
          <x:t xml:space="preserve">concentric</x:t>
        </x:is>
      </x:c>
      <x:c r="H26" s="4" t="inlineStr">
        <x:is>
          <x:t xml:space="preserve">window trim, drywall, fabrics</x:t>
        </x:is>
      </x:c>
      <x:c r="I26" s="4" t="inlineStr">
        <x:is>
          <x:t xml:space="preserve">condensation-prone windows, bathrooms</x:t>
        </x:is>
      </x:c>
      <x:c r="J26" s="4" t="inlineStr">
        <x:is>
          <x:t xml:space="preserve">moderate</x:t>
        </x:is>
      </x:c>
      <x:c r="K26" s="4" t="inlineStr">
        <x:is>
          <x:t xml:space="preserve">65+</x:t>
        </x:is>
      </x:c>
      <x:c r="L26" s="4" t="inlineStr">
        <x:is>
          <x:t xml:space="preserve">18-30</x:t>
        </x:is>
      </x:c>
      <x:c r="M26" s="4" t="inlineStr">
        <x:is>
          <x:t xml:space="preserve">yes</x:t>
        </x:is>
      </x:c>
      <x:c r="N26" s="4" t="inlineStr">
        <x:is>
          <x:t xml:space="preserve">possible on dirty seals</x:t>
        </x:is>
      </x:c>
      <x:c r="O26" s="4" t="inlineStr">
        <x:is>
          <x:t xml:space="preserve">moderate</x:t>
        </x:is>
      </x:c>
      <x:c r="P26" s="4" t="inlineStr">
        <x:is>
          <x:t xml:space="preserve">possible</x:t>
        </x:is>
      </x:c>
      <x:c r="Q26" s="4" t="inlineStr">
        <x:is>
          <x:t xml:space="preserve">clean minor growth; correct condensation source</x:t>
        </x:is>
      </x:c>
      <x:c r="R26" s="4" t="inlineStr">
        <x:is>
          <x:t xml:space="preserve">brown_velvet, concentric_rings</x:t>
        </x:is>
      </x:c>
      <x:c r="S26" s="4" t="inlineStr">
        <x:is>
          <x:t xml:space="preserve">Dark multicellular spore group</x:t>
        </x:is>
      </x:c>
      <x:c r="T26" s="4" t="inlineStr">
        <x:is>
          <x:t xml:space="preserve">moderate</x:t>
        </x:is>
      </x:c>
      <x:c r="U26" s="4" t="inlineStr">
        <x:is>
          <x:t xml:space="preserve">allergenic</x:t>
        </x:is>
      </x:c>
      <x:c r="V26" s="4" t="inlineStr">
        <x:is>
          <x:t xml:space="preserve">24-48 hrs with persistent humidity</x:t>
        </x:is>
      </x:c>
      <x:c r="W26" s="4" t="inlineStr">
        <x:is>
          <x:t xml:space="preserve">air + surface/bulk</x:t>
        </x:is>
      </x:c>
      <x:c r="X26" s="4" t="inlineStr">
        <x:is>
          <x:t xml:space="preserve">no</x:t>
        </x:is>
      </x:c>
      <x:c r="Y26" s="4" t="inlineStr">
        <x:is>
          <x:t xml:space="preserve">dark brown, olive, velvety, concentric</x:t>
        </x:is>
      </x:c>
      <x:c r="Z26" s="4" t="inlineStr">
        <x:is>
          <x:t xml:space="preserve">porous materials preferred; non-porous growth usually on possible on dirty seals</x:t>
        </x:is>
      </x:c>
    </x:row>
    <x:row r="27">
      <x:c r="A27" s="4" t="inlineStr">
        <x:is>
          <x:t xml:space="preserve">Alternaria tenuissima</x:t>
        </x:is>
      </x:c>
      <x:c r="B27" s="4" t="inlineStr">
        <x:is>
          <x:t xml:space="preserve">Alternaria</x:t>
        </x:is>
      </x:c>
      <x:c r="C27" s="4" t="inlineStr">
        <x:is>
          <x:t xml:space="preserve">Allergenic</x:t>
        </x:is>
      </x:c>
      <x:c r="D27" s="4" t="inlineStr">
        <x:is>
          <x:t xml:space="preserve">dark brown</x:t>
        </x:is>
      </x:c>
      <x:c r="E27" s="4" t="inlineStr">
        <x:is>
          <x:t xml:space="preserve">olive</x:t>
        </x:is>
      </x:c>
      <x:c r="F27" s="4" t="inlineStr">
        <x:is>
          <x:t xml:space="preserve">velvety</x:t>
        </x:is>
      </x:c>
      <x:c r="G27" s="4" t="inlineStr">
        <x:is>
          <x:t xml:space="preserve">concentric</x:t>
        </x:is>
      </x:c>
      <x:c r="H27" s="4" t="inlineStr">
        <x:is>
          <x:t xml:space="preserve">window trim, drywall, fabrics</x:t>
        </x:is>
      </x:c>
      <x:c r="I27" s="4" t="inlineStr">
        <x:is>
          <x:t xml:space="preserve">condensation-prone windows, bathrooms</x:t>
        </x:is>
      </x:c>
      <x:c r="J27" s="4" t="inlineStr">
        <x:is>
          <x:t xml:space="preserve">moderate</x:t>
        </x:is>
      </x:c>
      <x:c r="K27" s="4" t="inlineStr">
        <x:is>
          <x:t xml:space="preserve">65+</x:t>
        </x:is>
      </x:c>
      <x:c r="L27" s="4" t="inlineStr">
        <x:is>
          <x:t xml:space="preserve">18-30</x:t>
        </x:is>
      </x:c>
      <x:c r="M27" s="4" t="inlineStr">
        <x:is>
          <x:t xml:space="preserve">yes</x:t>
        </x:is>
      </x:c>
      <x:c r="N27" s="4" t="inlineStr">
        <x:is>
          <x:t xml:space="preserve">possible on dirty seals</x:t>
        </x:is>
      </x:c>
      <x:c r="O27" s="4" t="inlineStr">
        <x:is>
          <x:t xml:space="preserve">moderate</x:t>
        </x:is>
      </x:c>
      <x:c r="P27" s="4" t="inlineStr">
        <x:is>
          <x:t xml:space="preserve">possible</x:t>
        </x:is>
      </x:c>
      <x:c r="Q27" s="4" t="inlineStr">
        <x:is>
          <x:t xml:space="preserve">clean minor growth; correct condensation source</x:t>
        </x:is>
      </x:c>
      <x:c r="R27" s="4" t="inlineStr">
        <x:is>
          <x:t xml:space="preserve">brown_velvet, concentric_rings</x:t>
        </x:is>
      </x:c>
      <x:c r="S27" s="4" t="inlineStr">
        <x:is>
          <x:t xml:space="preserve">Dark multicellular spore group</x:t>
        </x:is>
      </x:c>
      <x:c r="T27" s="4" t="inlineStr">
        <x:is>
          <x:t xml:space="preserve">moderate</x:t>
        </x:is>
      </x:c>
      <x:c r="U27" s="4" t="inlineStr">
        <x:is>
          <x:t xml:space="preserve">allergenic</x:t>
        </x:is>
      </x:c>
      <x:c r="V27" s="4" t="inlineStr">
        <x:is>
          <x:t xml:space="preserve">24-48 hrs with persistent humidity</x:t>
        </x:is>
      </x:c>
      <x:c r="W27" s="4" t="inlineStr">
        <x:is>
          <x:t xml:space="preserve">air + surface/bulk</x:t>
        </x:is>
      </x:c>
      <x:c r="X27" s="4" t="inlineStr">
        <x:is>
          <x:t xml:space="preserve">no</x:t>
        </x:is>
      </x:c>
      <x:c r="Y27" s="4" t="inlineStr">
        <x:is>
          <x:t xml:space="preserve">dark brown, olive, velvety, concentric</x:t>
        </x:is>
      </x:c>
      <x:c r="Z27" s="4" t="inlineStr">
        <x:is>
          <x:t xml:space="preserve">porous materials preferred; non-porous growth usually on possible on dirty seals</x:t>
        </x:is>
      </x:c>
    </x:row>
    <x:row r="28">
      <x:c r="A28" s="4" t="inlineStr">
        <x:is>
          <x:t xml:space="preserve">Alternaria infectoria</x:t>
        </x:is>
      </x:c>
      <x:c r="B28" s="4" t="inlineStr">
        <x:is>
          <x:t xml:space="preserve">Alternaria</x:t>
        </x:is>
      </x:c>
      <x:c r="C28" s="4" t="inlineStr">
        <x:is>
          <x:t xml:space="preserve">Allergenic</x:t>
        </x:is>
      </x:c>
      <x:c r="D28" s="4" t="inlineStr">
        <x:is>
          <x:t xml:space="preserve">dark brown</x:t>
        </x:is>
      </x:c>
      <x:c r="E28" s="4" t="inlineStr">
        <x:is>
          <x:t xml:space="preserve">olive</x:t>
        </x:is>
      </x:c>
      <x:c r="F28" s="4" t="inlineStr">
        <x:is>
          <x:t xml:space="preserve">velvety</x:t>
        </x:is>
      </x:c>
      <x:c r="G28" s="4" t="inlineStr">
        <x:is>
          <x:t xml:space="preserve">concentric</x:t>
        </x:is>
      </x:c>
      <x:c r="H28" s="4" t="inlineStr">
        <x:is>
          <x:t xml:space="preserve">window trim, drywall, fabrics</x:t>
        </x:is>
      </x:c>
      <x:c r="I28" s="4" t="inlineStr">
        <x:is>
          <x:t xml:space="preserve">condensation-prone windows, bathrooms</x:t>
        </x:is>
      </x:c>
      <x:c r="J28" s="4" t="inlineStr">
        <x:is>
          <x:t xml:space="preserve">moderate</x:t>
        </x:is>
      </x:c>
      <x:c r="K28" s="4" t="inlineStr">
        <x:is>
          <x:t xml:space="preserve">65+</x:t>
        </x:is>
      </x:c>
      <x:c r="L28" s="4" t="inlineStr">
        <x:is>
          <x:t xml:space="preserve">18-30</x:t>
        </x:is>
      </x:c>
      <x:c r="M28" s="4" t="inlineStr">
        <x:is>
          <x:t xml:space="preserve">yes</x:t>
        </x:is>
      </x:c>
      <x:c r="N28" s="4" t="inlineStr">
        <x:is>
          <x:t xml:space="preserve">possible on dirty seals</x:t>
        </x:is>
      </x:c>
      <x:c r="O28" s="4" t="inlineStr">
        <x:is>
          <x:t xml:space="preserve">moderate</x:t>
        </x:is>
      </x:c>
      <x:c r="P28" s="4" t="inlineStr">
        <x:is>
          <x:t xml:space="preserve">possible</x:t>
        </x:is>
      </x:c>
      <x:c r="Q28" s="4" t="inlineStr">
        <x:is>
          <x:t xml:space="preserve">clean minor growth; correct condensation source</x:t>
        </x:is>
      </x:c>
      <x:c r="R28" s="4" t="inlineStr">
        <x:is>
          <x:t xml:space="preserve">brown_velvet, concentric_rings</x:t>
        </x:is>
      </x:c>
      <x:c r="S28" s="4" t="inlineStr">
        <x:is>
          <x:t xml:space="preserve">Dark multicellular spore group</x:t>
        </x:is>
      </x:c>
      <x:c r="T28" s="4" t="inlineStr">
        <x:is>
          <x:t xml:space="preserve">moderate</x:t>
        </x:is>
      </x:c>
      <x:c r="U28" s="4" t="inlineStr">
        <x:is>
          <x:t xml:space="preserve">allergenic</x:t>
        </x:is>
      </x:c>
      <x:c r="V28" s="4" t="inlineStr">
        <x:is>
          <x:t xml:space="preserve">24-48 hrs with persistent humidity</x:t>
        </x:is>
      </x:c>
      <x:c r="W28" s="4" t="inlineStr">
        <x:is>
          <x:t xml:space="preserve">air + surface/bulk</x:t>
        </x:is>
      </x:c>
      <x:c r="X28" s="4" t="inlineStr">
        <x:is>
          <x:t xml:space="preserve">no</x:t>
        </x:is>
      </x:c>
      <x:c r="Y28" s="4" t="inlineStr">
        <x:is>
          <x:t xml:space="preserve">dark brown, olive, velvety, concentric</x:t>
        </x:is>
      </x:c>
      <x:c r="Z28" s="4" t="inlineStr">
        <x:is>
          <x:t xml:space="preserve">porous materials preferred; non-porous growth usually on possible on dirty seals</x:t>
        </x:is>
      </x:c>
    </x:row>
    <x:row r="29">
      <x:c r="A29" s="4" t="inlineStr">
        <x:is>
          <x:t xml:space="preserve">Alternaria atra</x:t>
        </x:is>
      </x:c>
      <x:c r="B29" s="4" t="inlineStr">
        <x:is>
          <x:t xml:space="preserve">Alternaria</x:t>
        </x:is>
      </x:c>
      <x:c r="C29" s="4" t="inlineStr">
        <x:is>
          <x:t xml:space="preserve">Allergenic</x:t>
        </x:is>
      </x:c>
      <x:c r="D29" s="4" t="inlineStr">
        <x:is>
          <x:t xml:space="preserve">dark brown</x:t>
        </x:is>
      </x:c>
      <x:c r="E29" s="4" t="inlineStr">
        <x:is>
          <x:t xml:space="preserve">olive</x:t>
        </x:is>
      </x:c>
      <x:c r="F29" s="4" t="inlineStr">
        <x:is>
          <x:t xml:space="preserve">velvety</x:t>
        </x:is>
      </x:c>
      <x:c r="G29" s="4" t="inlineStr">
        <x:is>
          <x:t xml:space="preserve">concentric</x:t>
        </x:is>
      </x:c>
      <x:c r="H29" s="4" t="inlineStr">
        <x:is>
          <x:t xml:space="preserve">window trim, drywall, fabrics</x:t>
        </x:is>
      </x:c>
      <x:c r="I29" s="4" t="inlineStr">
        <x:is>
          <x:t xml:space="preserve">condensation-prone windows, bathrooms</x:t>
        </x:is>
      </x:c>
      <x:c r="J29" s="4" t="inlineStr">
        <x:is>
          <x:t xml:space="preserve">moderate</x:t>
        </x:is>
      </x:c>
      <x:c r="K29" s="4" t="inlineStr">
        <x:is>
          <x:t xml:space="preserve">65+</x:t>
        </x:is>
      </x:c>
      <x:c r="L29" s="4" t="inlineStr">
        <x:is>
          <x:t xml:space="preserve">18-30</x:t>
        </x:is>
      </x:c>
      <x:c r="M29" s="4" t="inlineStr">
        <x:is>
          <x:t xml:space="preserve">yes</x:t>
        </x:is>
      </x:c>
      <x:c r="N29" s="4" t="inlineStr">
        <x:is>
          <x:t xml:space="preserve">possible on dirty seals</x:t>
        </x:is>
      </x:c>
      <x:c r="O29" s="4" t="inlineStr">
        <x:is>
          <x:t xml:space="preserve">moderate</x:t>
        </x:is>
      </x:c>
      <x:c r="P29" s="4" t="inlineStr">
        <x:is>
          <x:t xml:space="preserve">possible</x:t>
        </x:is>
      </x:c>
      <x:c r="Q29" s="4" t="inlineStr">
        <x:is>
          <x:t xml:space="preserve">clean minor growth; correct condensation source</x:t>
        </x:is>
      </x:c>
      <x:c r="R29" s="4" t="inlineStr">
        <x:is>
          <x:t xml:space="preserve">brown_velvet, concentric_rings</x:t>
        </x:is>
      </x:c>
      <x:c r="S29" s="4" t="inlineStr">
        <x:is>
          <x:t xml:space="preserve">Dark multicellular spore group</x:t>
        </x:is>
      </x:c>
      <x:c r="T29" s="4" t="inlineStr">
        <x:is>
          <x:t xml:space="preserve">moderate</x:t>
        </x:is>
      </x:c>
      <x:c r="U29" s="4" t="inlineStr">
        <x:is>
          <x:t xml:space="preserve">allergenic</x:t>
        </x:is>
      </x:c>
      <x:c r="V29" s="4" t="inlineStr">
        <x:is>
          <x:t xml:space="preserve">24-48 hrs with persistent humidity</x:t>
        </x:is>
      </x:c>
      <x:c r="W29" s="4" t="inlineStr">
        <x:is>
          <x:t xml:space="preserve">air + surface/bulk</x:t>
        </x:is>
      </x:c>
      <x:c r="X29" s="4" t="inlineStr">
        <x:is>
          <x:t xml:space="preserve">no</x:t>
        </x:is>
      </x:c>
      <x:c r="Y29" s="4" t="inlineStr">
        <x:is>
          <x:t xml:space="preserve">dark brown, olive, velvety, concentric</x:t>
        </x:is>
      </x:c>
      <x:c r="Z29" s="4" t="inlineStr">
        <x:is>
          <x:t xml:space="preserve">porous materials preferred; non-porous growth usually on possible on dirty seals</x:t>
        </x:is>
      </x:c>
    </x:row>
    <x:row r="30">
      <x:c r="A30" s="4" t="inlineStr">
        <x:is>
          <x:t xml:space="preserve">Chaetomium globosum</x:t>
        </x:is>
      </x:c>
      <x:c r="B30" s="4" t="inlineStr">
        <x:is>
          <x:t xml:space="preserve">Chaetomium</x:t>
        </x:is>
      </x:c>
      <x:c r="C30" s="4" t="inlineStr">
        <x:is>
          <x:t xml:space="preserve">Water damage mold</x:t>
        </x:is>
      </x:c>
      <x:c r="D30" s="4" t="inlineStr">
        <x:is>
          <x:t xml:space="preserve">white to gray</x:t>
        </x:is>
      </x:c>
      <x:c r="E30" s="4" t="inlineStr">
        <x:is>
          <x:t xml:space="preserve">olive brown</x:t>
        </x:is>
      </x:c>
      <x:c r="F30" s="4" t="inlineStr">
        <x:is>
          <x:t xml:space="preserve">cottony</x:t>
        </x:is>
      </x:c>
      <x:c r="G30" s="4" t="inlineStr">
        <x:is>
          <x:t xml:space="preserve">patchy</x:t>
        </x:is>
      </x:c>
      <x:c r="H30" s="4" t="inlineStr">
        <x:is>
          <x:t xml:space="preserve">wet drywall, paper backing, cellulose</x:t>
        </x:is>
      </x:c>
      <x:c r="I30" s="4" t="inlineStr">
        <x:is>
          <x:t xml:space="preserve">flooded walls, subfloors</x:t>
        </x:is>
      </x:c>
      <x:c r="J30" s="4" t="inlineStr">
        <x:is>
          <x:t xml:space="preserve">high</x:t>
        </x:is>
      </x:c>
      <x:c r="K30" s="4" t="inlineStr">
        <x:is>
          <x:t xml:space="preserve">70+</x:t>
        </x:is>
      </x:c>
      <x:c r="L30" s="4" t="inlineStr">
        <x:is>
          <x:t xml:space="preserve">20-32</x:t>
        </x:is>
      </x:c>
      <x:c r="M30" s="4" t="inlineStr">
        <x:is>
          <x:t xml:space="preserve">yes</x:t>
        </x:is>
      </x:c>
      <x:c r="N30" s="4" t="inlineStr">
        <x:is>
          <x:t xml:space="preserve">rare</x:t>
        </x:is>
      </x:c>
      <x:c r="O30" s="4" t="inlineStr">
        <x:is>
          <x:t xml:space="preserve">high</x:t>
        </x:is>
      </x:c>
      <x:c r="P30" s="4" t="inlineStr">
        <x:is>
          <x:t xml:space="preserve">possible</x:t>
        </x:is>
      </x:c>
      <x:c r="Q30" s="4" t="inlineStr">
        <x:is>
          <x:t xml:space="preserve">remove contaminated porous materials; dry structure</x:t>
        </x:is>
      </x:c>
      <x:c r="R30" s="4" t="inlineStr">
        <x:is>
          <x:t xml:space="preserve">cottony_colony, water_damage, brown_maturation</x:t>
        </x:is>
      </x:c>
      <x:c r="S30" s="4" t="inlineStr">
        <x:is>
          <x:t xml:space="preserve">Chaetomium water-damage marker</x:t>
        </x:is>
      </x:c>
      <x:c r="T30" s="4" t="inlineStr">
        <x:is>
          <x:t xml:space="preserve">high</x:t>
        </x:is>
      </x:c>
      <x:c r="U30" s="4" t="inlineStr">
        <x:is>
          <x:t xml:space="preserve">common indoor / allergen potential</x:t>
        </x:is>
      </x:c>
      <x:c r="V30" s="4" t="inlineStr">
        <x:is>
          <x:t xml:space="preserve">48-72+ hrs after sustained wetting</x:t>
        </x:is>
      </x:c>
      <x:c r="W30" s="4" t="inlineStr">
        <x:is>
          <x:t xml:space="preserve">surface/bulk preferred; air may under-represent</x:t>
        </x:is>
      </x:c>
      <x:c r="X30" s="4" t="inlineStr">
        <x:is>
          <x:t xml:space="preserve">yes</x:t>
        </x:is>
      </x:c>
      <x:c r="Y30" s="4" t="inlineStr">
        <x:is>
          <x:t xml:space="preserve">white to gray, olive brown, cottony, patchy</x:t>
        </x:is>
      </x:c>
      <x:c r="Z30" s="4" t="inlineStr">
        <x:is>
          <x:t xml:space="preserve">porous materials preferred; non-porous growth usually on rare</x:t>
        </x:is>
      </x:c>
    </x:row>
    <x:row r="31">
      <x:c r="A31" s="4" t="inlineStr">
        <x:is>
          <x:t xml:space="preserve">Chaetomium murorum</x:t>
        </x:is>
      </x:c>
      <x:c r="B31" s="4" t="inlineStr">
        <x:is>
          <x:t xml:space="preserve">Chaetomium</x:t>
        </x:is>
      </x:c>
      <x:c r="C31" s="4" t="inlineStr">
        <x:is>
          <x:t xml:space="preserve">Water damage mold</x:t>
        </x:is>
      </x:c>
      <x:c r="D31" s="4" t="inlineStr">
        <x:is>
          <x:t xml:space="preserve">white to gray</x:t>
        </x:is>
      </x:c>
      <x:c r="E31" s="4" t="inlineStr">
        <x:is>
          <x:t xml:space="preserve">olive brown</x:t>
        </x:is>
      </x:c>
      <x:c r="F31" s="4" t="inlineStr">
        <x:is>
          <x:t xml:space="preserve">cottony</x:t>
        </x:is>
      </x:c>
      <x:c r="G31" s="4" t="inlineStr">
        <x:is>
          <x:t xml:space="preserve">patchy</x:t>
        </x:is>
      </x:c>
      <x:c r="H31" s="4" t="inlineStr">
        <x:is>
          <x:t xml:space="preserve">wet drywall, paper backing, cellulose</x:t>
        </x:is>
      </x:c>
      <x:c r="I31" s="4" t="inlineStr">
        <x:is>
          <x:t xml:space="preserve">flooded walls, subfloors</x:t>
        </x:is>
      </x:c>
      <x:c r="J31" s="4" t="inlineStr">
        <x:is>
          <x:t xml:space="preserve">high</x:t>
        </x:is>
      </x:c>
      <x:c r="K31" s="4" t="inlineStr">
        <x:is>
          <x:t xml:space="preserve">70+</x:t>
        </x:is>
      </x:c>
      <x:c r="L31" s="4" t="inlineStr">
        <x:is>
          <x:t xml:space="preserve">20-32</x:t>
        </x:is>
      </x:c>
      <x:c r="M31" s="4" t="inlineStr">
        <x:is>
          <x:t xml:space="preserve">yes</x:t>
        </x:is>
      </x:c>
      <x:c r="N31" s="4" t="inlineStr">
        <x:is>
          <x:t xml:space="preserve">rare</x:t>
        </x:is>
      </x:c>
      <x:c r="O31" s="4" t="inlineStr">
        <x:is>
          <x:t xml:space="preserve">high</x:t>
        </x:is>
      </x:c>
      <x:c r="P31" s="4" t="inlineStr">
        <x:is>
          <x:t xml:space="preserve">possible</x:t>
        </x:is>
      </x:c>
      <x:c r="Q31" s="4" t="inlineStr">
        <x:is>
          <x:t xml:space="preserve">remove contaminated porous materials; dry structure</x:t>
        </x:is>
      </x:c>
      <x:c r="R31" s="4" t="inlineStr">
        <x:is>
          <x:t xml:space="preserve">cottony_colony, water_damage, brown_maturation</x:t>
        </x:is>
      </x:c>
      <x:c r="S31" s="4" t="inlineStr">
        <x:is>
          <x:t xml:space="preserve">Chaetomium water-damage marker</x:t>
        </x:is>
      </x:c>
      <x:c r="T31" s="4" t="inlineStr">
        <x:is>
          <x:t xml:space="preserve">high</x:t>
        </x:is>
      </x:c>
      <x:c r="U31" s="4" t="inlineStr">
        <x:is>
          <x:t xml:space="preserve">common indoor / allergen potential</x:t>
        </x:is>
      </x:c>
      <x:c r="V31" s="4" t="inlineStr">
        <x:is>
          <x:t xml:space="preserve">48-72+ hrs after sustained wetting</x:t>
        </x:is>
      </x:c>
      <x:c r="W31" s="4" t="inlineStr">
        <x:is>
          <x:t xml:space="preserve">surface/bulk preferred; air may under-represent</x:t>
        </x:is>
      </x:c>
      <x:c r="X31" s="4" t="inlineStr">
        <x:is>
          <x:t xml:space="preserve">yes</x:t>
        </x:is>
      </x:c>
      <x:c r="Y31" s="4" t="inlineStr">
        <x:is>
          <x:t xml:space="preserve">white to gray, olive brown, cottony, patchy</x:t>
        </x:is>
      </x:c>
      <x:c r="Z31" s="4" t="inlineStr">
        <x:is>
          <x:t xml:space="preserve">porous materials preferred; non-porous growth usually on rare</x:t>
        </x:is>
      </x:c>
    </x:row>
    <x:row r="32">
      <x:c r="A32" s="4" t="inlineStr">
        <x:is>
          <x:t xml:space="preserve">Chaetomium elatum</x:t>
        </x:is>
      </x:c>
      <x:c r="B32" s="4" t="inlineStr">
        <x:is>
          <x:t xml:space="preserve">Chaetomium</x:t>
        </x:is>
      </x:c>
      <x:c r="C32" s="4" t="inlineStr">
        <x:is>
          <x:t xml:space="preserve">Water damage mold</x:t>
        </x:is>
      </x:c>
      <x:c r="D32" s="4" t="inlineStr">
        <x:is>
          <x:t xml:space="preserve">white to gray</x:t>
        </x:is>
      </x:c>
      <x:c r="E32" s="4" t="inlineStr">
        <x:is>
          <x:t xml:space="preserve">olive brown</x:t>
        </x:is>
      </x:c>
      <x:c r="F32" s="4" t="inlineStr">
        <x:is>
          <x:t xml:space="preserve">cottony</x:t>
        </x:is>
      </x:c>
      <x:c r="G32" s="4" t="inlineStr">
        <x:is>
          <x:t xml:space="preserve">patchy</x:t>
        </x:is>
      </x:c>
      <x:c r="H32" s="4" t="inlineStr">
        <x:is>
          <x:t xml:space="preserve">wet drywall, paper backing, cellulose</x:t>
        </x:is>
      </x:c>
      <x:c r="I32" s="4" t="inlineStr">
        <x:is>
          <x:t xml:space="preserve">flooded walls, subfloors</x:t>
        </x:is>
      </x:c>
      <x:c r="J32" s="4" t="inlineStr">
        <x:is>
          <x:t xml:space="preserve">high</x:t>
        </x:is>
      </x:c>
      <x:c r="K32" s="4" t="inlineStr">
        <x:is>
          <x:t xml:space="preserve">70+</x:t>
        </x:is>
      </x:c>
      <x:c r="L32" s="4" t="inlineStr">
        <x:is>
          <x:t xml:space="preserve">20-32</x:t>
        </x:is>
      </x:c>
      <x:c r="M32" s="4" t="inlineStr">
        <x:is>
          <x:t xml:space="preserve">yes</x:t>
        </x:is>
      </x:c>
      <x:c r="N32" s="4" t="inlineStr">
        <x:is>
          <x:t xml:space="preserve">rare</x:t>
        </x:is>
      </x:c>
      <x:c r="O32" s="4" t="inlineStr">
        <x:is>
          <x:t xml:space="preserve">high</x:t>
        </x:is>
      </x:c>
      <x:c r="P32" s="4" t="inlineStr">
        <x:is>
          <x:t xml:space="preserve">possible</x:t>
        </x:is>
      </x:c>
      <x:c r="Q32" s="4" t="inlineStr">
        <x:is>
          <x:t xml:space="preserve">remove contaminated porous materials; dry structure</x:t>
        </x:is>
      </x:c>
      <x:c r="R32" s="4" t="inlineStr">
        <x:is>
          <x:t xml:space="preserve">cottony_colony, water_damage, brown_maturation</x:t>
        </x:is>
      </x:c>
      <x:c r="S32" s="4" t="inlineStr">
        <x:is>
          <x:t xml:space="preserve">Chaetomium water-damage marker</x:t>
        </x:is>
      </x:c>
      <x:c r="T32" s="4" t="inlineStr">
        <x:is>
          <x:t xml:space="preserve">high</x:t>
        </x:is>
      </x:c>
      <x:c r="U32" s="4" t="inlineStr">
        <x:is>
          <x:t xml:space="preserve">common indoor / allergen potential</x:t>
        </x:is>
      </x:c>
      <x:c r="V32" s="4" t="inlineStr">
        <x:is>
          <x:t xml:space="preserve">48-72+ hrs after sustained wetting</x:t>
        </x:is>
      </x:c>
      <x:c r="W32" s="4" t="inlineStr">
        <x:is>
          <x:t xml:space="preserve">surface/bulk preferred; air may under-represent</x:t>
        </x:is>
      </x:c>
      <x:c r="X32" s="4" t="inlineStr">
        <x:is>
          <x:t xml:space="preserve">yes</x:t>
        </x:is>
      </x:c>
      <x:c r="Y32" s="4" t="inlineStr">
        <x:is>
          <x:t xml:space="preserve">white to gray, olive brown, cottony, patchy</x:t>
        </x:is>
      </x:c>
      <x:c r="Z32" s="4" t="inlineStr">
        <x:is>
          <x:t xml:space="preserve">porous materials preferred; non-porous growth usually on rare</x:t>
        </x:is>
      </x:c>
    </x:row>
    <x:row r="33">
      <x:c r="A33" s="4" t="inlineStr">
        <x:is>
          <x:t xml:space="preserve">Chaetomium atrobrunneum</x:t>
        </x:is>
      </x:c>
      <x:c r="B33" s="4" t="inlineStr">
        <x:is>
          <x:t xml:space="preserve">Chaetomium</x:t>
        </x:is>
      </x:c>
      <x:c r="C33" s="4" t="inlineStr">
        <x:is>
          <x:t xml:space="preserve">Water damage mold</x:t>
        </x:is>
      </x:c>
      <x:c r="D33" s="4" t="inlineStr">
        <x:is>
          <x:t xml:space="preserve">white to gray</x:t>
        </x:is>
      </x:c>
      <x:c r="E33" s="4" t="inlineStr">
        <x:is>
          <x:t xml:space="preserve">olive brown</x:t>
        </x:is>
      </x:c>
      <x:c r="F33" s="4" t="inlineStr">
        <x:is>
          <x:t xml:space="preserve">cottony</x:t>
        </x:is>
      </x:c>
      <x:c r="G33" s="4" t="inlineStr">
        <x:is>
          <x:t xml:space="preserve">patchy</x:t>
        </x:is>
      </x:c>
      <x:c r="H33" s="4" t="inlineStr">
        <x:is>
          <x:t xml:space="preserve">wet drywall, paper backing, cellulose</x:t>
        </x:is>
      </x:c>
      <x:c r="I33" s="4" t="inlineStr">
        <x:is>
          <x:t xml:space="preserve">flooded walls, subfloors</x:t>
        </x:is>
      </x:c>
      <x:c r="J33" s="4" t="inlineStr">
        <x:is>
          <x:t xml:space="preserve">high</x:t>
        </x:is>
      </x:c>
      <x:c r="K33" s="4" t="inlineStr">
        <x:is>
          <x:t xml:space="preserve">70+</x:t>
        </x:is>
      </x:c>
      <x:c r="L33" s="4" t="inlineStr">
        <x:is>
          <x:t xml:space="preserve">20-32</x:t>
        </x:is>
      </x:c>
      <x:c r="M33" s="4" t="inlineStr">
        <x:is>
          <x:t xml:space="preserve">yes</x:t>
        </x:is>
      </x:c>
      <x:c r="N33" s="4" t="inlineStr">
        <x:is>
          <x:t xml:space="preserve">rare</x:t>
        </x:is>
      </x:c>
      <x:c r="O33" s="4" t="inlineStr">
        <x:is>
          <x:t xml:space="preserve">high</x:t>
        </x:is>
      </x:c>
      <x:c r="P33" s="4" t="inlineStr">
        <x:is>
          <x:t xml:space="preserve">possible</x:t>
        </x:is>
      </x:c>
      <x:c r="Q33" s="4" t="inlineStr">
        <x:is>
          <x:t xml:space="preserve">remove contaminated porous materials; dry structure</x:t>
        </x:is>
      </x:c>
      <x:c r="R33" s="4" t="inlineStr">
        <x:is>
          <x:t xml:space="preserve">cottony_colony, water_damage, brown_maturation</x:t>
        </x:is>
      </x:c>
      <x:c r="S33" s="4" t="inlineStr">
        <x:is>
          <x:t xml:space="preserve">Chaetomium water-damage marker</x:t>
        </x:is>
      </x:c>
      <x:c r="T33" s="4" t="inlineStr">
        <x:is>
          <x:t xml:space="preserve">high</x:t>
        </x:is>
      </x:c>
      <x:c r="U33" s="4" t="inlineStr">
        <x:is>
          <x:t xml:space="preserve">common indoor / allergen potential</x:t>
        </x:is>
      </x:c>
      <x:c r="V33" s="4" t="inlineStr">
        <x:is>
          <x:t xml:space="preserve">48-72+ hrs after sustained wetting</x:t>
        </x:is>
      </x:c>
      <x:c r="W33" s="4" t="inlineStr">
        <x:is>
          <x:t xml:space="preserve">surface/bulk preferred; air may under-represent</x:t>
        </x:is>
      </x:c>
      <x:c r="X33" s="4" t="inlineStr">
        <x:is>
          <x:t xml:space="preserve">yes</x:t>
        </x:is>
      </x:c>
      <x:c r="Y33" s="4" t="inlineStr">
        <x:is>
          <x:t xml:space="preserve">white to gray, olive brown, cottony, patchy</x:t>
        </x:is>
      </x:c>
      <x:c r="Z33" s="4" t="inlineStr">
        <x:is>
          <x:t xml:space="preserve">porous materials preferred; non-porous growth usually on rare</x:t>
        </x:is>
      </x:c>
    </x:row>
    <x:row r="34">
      <x:c r="A34" s="4" t="inlineStr">
        <x:is>
          <x:t xml:space="preserve">Ulocladium chartarum</x:t>
        </x:is>
      </x:c>
      <x:c r="B34" s="4" t="inlineStr">
        <x:is>
          <x:t xml:space="preserve">Ulocladium</x:t>
        </x:is>
      </x:c>
      <x:c r="C34" s="4" t="inlineStr">
        <x:is>
          <x:t xml:space="preserve">Water damage mold</x:t>
        </x:is>
      </x:c>
      <x:c r="D34" s="4" t="inlineStr">
        <x:is>
          <x:t xml:space="preserve">dark brown</x:t>
        </x:is>
      </x:c>
      <x:c r="E34" s="4" t="inlineStr">
        <x:is>
          <x:t xml:space="preserve">black</x:t>
        </x:is>
      </x:c>
      <x:c r="F34" s="4" t="inlineStr">
        <x:is>
          <x:t xml:space="preserve">velvety</x:t>
        </x:is>
      </x:c>
      <x:c r="G34" s="4" t="inlineStr">
        <x:is>
          <x:t xml:space="preserve">patchy</x:t>
        </x:is>
      </x:c>
      <x:c r="H34" s="4" t="inlineStr">
        <x:is>
          <x:t xml:space="preserve">wallboard, wood, paper</x:t>
        </x:is>
      </x:c>
      <x:c r="I34" s="4" t="inlineStr">
        <x:is>
          <x:t xml:space="preserve">chronically wet bathrooms, basements</x:t>
        </x:is>
      </x:c>
      <x:c r="J34" s="4" t="inlineStr">
        <x:is>
          <x:t xml:space="preserve">high</x:t>
        </x:is>
      </x:c>
      <x:c r="K34" s="4" t="inlineStr">
        <x:is>
          <x:t xml:space="preserve">70+</x:t>
        </x:is>
      </x:c>
      <x:c r="L34" s="4" t="inlineStr">
        <x:is>
          <x:t xml:space="preserve">18-30</x:t>
        </x:is>
      </x:c>
      <x:c r="M34" s="4" t="inlineStr">
        <x:is>
          <x:t xml:space="preserve">yes</x:t>
        </x:is>
      </x:c>
      <x:c r="N34" s="4" t="inlineStr">
        <x:is>
          <x:t xml:space="preserve">rare</x:t>
        </x:is>
      </x:c>
      <x:c r="O34" s="4" t="inlineStr">
        <x:is>
          <x:t xml:space="preserve">moderate</x:t>
        </x:is>
      </x:c>
      <x:c r="P34" s="4" t="inlineStr">
        <x:is>
          <x:t xml:space="preserve">possible</x:t>
        </x:is>
      </x:c>
      <x:c r="Q34" s="4" t="inlineStr">
        <x:is>
          <x:t xml:space="preserve">remove wet porous materials and control moisture</x:t>
        </x:is>
      </x:c>
      <x:c r="R34" s="4" t="inlineStr">
        <x:is>
          <x:t xml:space="preserve">dark_velvet, wet_zone_growth</x:t>
        </x:is>
      </x:c>
      <x:c r="S34" s="4" t="inlineStr">
        <x:is>
          <x:t xml:space="preserve">Dark multicellular spore group</x:t>
        </x:is>
      </x:c>
      <x:c r="T34" s="4" t="inlineStr">
        <x:is>
          <x:t xml:space="preserve">moderate</x:t>
        </x:is>
      </x:c>
      <x:c r="U34" s="4" t="inlineStr">
        <x:is>
          <x:t xml:space="preserve">common indoor / allergen potential</x:t>
        </x:is>
      </x:c>
      <x:c r="V34" s="4" t="inlineStr">
        <x:is>
          <x:t xml:space="preserve">48-72+ hrs after sustained wetting</x:t>
        </x:is>
      </x:c>
      <x:c r="W34" s="4" t="inlineStr">
        <x:is>
          <x:t xml:space="preserve">surface/bulk + air comparison</x:t>
        </x:is>
      </x:c>
      <x:c r="X34" s="4" t="inlineStr">
        <x:is>
          <x:t xml:space="preserve">yes</x:t>
        </x:is>
      </x:c>
      <x:c r="Y34" s="4" t="inlineStr">
        <x:is>
          <x:t xml:space="preserve">dark brown, black, velvety, patchy</x:t>
        </x:is>
      </x:c>
      <x:c r="Z34" s="4" t="inlineStr">
        <x:is>
          <x:t xml:space="preserve">porous materials preferred; non-porous growth usually on rare</x:t>
        </x:is>
      </x:c>
    </x:row>
    <x:row r="35">
      <x:c r="A35" s="4" t="inlineStr">
        <x:is>
          <x:t xml:space="preserve">Ulocladium atrum</x:t>
        </x:is>
      </x:c>
      <x:c r="B35" s="4" t="inlineStr">
        <x:is>
          <x:t xml:space="preserve">Ulocladium</x:t>
        </x:is>
      </x:c>
      <x:c r="C35" s="4" t="inlineStr">
        <x:is>
          <x:t xml:space="preserve">Water damage mold</x:t>
        </x:is>
      </x:c>
      <x:c r="D35" s="4" t="inlineStr">
        <x:is>
          <x:t xml:space="preserve">dark brown</x:t>
        </x:is>
      </x:c>
      <x:c r="E35" s="4" t="inlineStr">
        <x:is>
          <x:t xml:space="preserve">black</x:t>
        </x:is>
      </x:c>
      <x:c r="F35" s="4" t="inlineStr">
        <x:is>
          <x:t xml:space="preserve">velvety</x:t>
        </x:is>
      </x:c>
      <x:c r="G35" s="4" t="inlineStr">
        <x:is>
          <x:t xml:space="preserve">patchy</x:t>
        </x:is>
      </x:c>
      <x:c r="H35" s="4" t="inlineStr">
        <x:is>
          <x:t xml:space="preserve">wallboard, wood, paper</x:t>
        </x:is>
      </x:c>
      <x:c r="I35" s="4" t="inlineStr">
        <x:is>
          <x:t xml:space="preserve">chronically wet bathrooms, basements</x:t>
        </x:is>
      </x:c>
      <x:c r="J35" s="4" t="inlineStr">
        <x:is>
          <x:t xml:space="preserve">high</x:t>
        </x:is>
      </x:c>
      <x:c r="K35" s="4" t="inlineStr">
        <x:is>
          <x:t xml:space="preserve">70+</x:t>
        </x:is>
      </x:c>
      <x:c r="L35" s="4" t="inlineStr">
        <x:is>
          <x:t xml:space="preserve">18-30</x:t>
        </x:is>
      </x:c>
      <x:c r="M35" s="4" t="inlineStr">
        <x:is>
          <x:t xml:space="preserve">yes</x:t>
        </x:is>
      </x:c>
      <x:c r="N35" s="4" t="inlineStr">
        <x:is>
          <x:t xml:space="preserve">rare</x:t>
        </x:is>
      </x:c>
      <x:c r="O35" s="4" t="inlineStr">
        <x:is>
          <x:t xml:space="preserve">moderate</x:t>
        </x:is>
      </x:c>
      <x:c r="P35" s="4" t="inlineStr">
        <x:is>
          <x:t xml:space="preserve">possible</x:t>
        </x:is>
      </x:c>
      <x:c r="Q35" s="4" t="inlineStr">
        <x:is>
          <x:t xml:space="preserve">remove wet porous materials and control moisture</x:t>
        </x:is>
      </x:c>
      <x:c r="R35" s="4" t="inlineStr">
        <x:is>
          <x:t xml:space="preserve">dark_velvet, wet_zone_growth</x:t>
        </x:is>
      </x:c>
      <x:c r="S35" s="4" t="inlineStr">
        <x:is>
          <x:t xml:space="preserve">Dark multicellular spore group</x:t>
        </x:is>
      </x:c>
      <x:c r="T35" s="4" t="inlineStr">
        <x:is>
          <x:t xml:space="preserve">moderate</x:t>
        </x:is>
      </x:c>
      <x:c r="U35" s="4" t="inlineStr">
        <x:is>
          <x:t xml:space="preserve">common indoor / allergen potential</x:t>
        </x:is>
      </x:c>
      <x:c r="V35" s="4" t="inlineStr">
        <x:is>
          <x:t xml:space="preserve">48-72+ hrs after sustained wetting</x:t>
        </x:is>
      </x:c>
      <x:c r="W35" s="4" t="inlineStr">
        <x:is>
          <x:t xml:space="preserve">surface/bulk + air comparison</x:t>
        </x:is>
      </x:c>
      <x:c r="X35" s="4" t="inlineStr">
        <x:is>
          <x:t xml:space="preserve">yes</x:t>
        </x:is>
      </x:c>
      <x:c r="Y35" s="4" t="inlineStr">
        <x:is>
          <x:t xml:space="preserve">dark brown, black, velvety, patchy</x:t>
        </x:is>
      </x:c>
      <x:c r="Z35" s="4" t="inlineStr">
        <x:is>
          <x:t xml:space="preserve">porous materials preferred; non-porous growth usually on rare</x:t>
        </x:is>
      </x:c>
    </x:row>
    <x:row r="36">
      <x:c r="A36" s="4" t="inlineStr">
        <x:is>
          <x:t xml:space="preserve">Fusarium oxysporum</x:t>
        </x:is>
      </x:c>
      <x:c r="B36" s="4" t="inlineStr">
        <x:is>
          <x:t xml:space="preserve">Fusarium</x:t>
        </x:is>
      </x:c>
      <x:c r="C36" s="4" t="inlineStr">
        <x:is>
          <x:t xml:space="preserve">Pathogenic / Water damage mold</x:t>
        </x:is>
      </x:c>
      <x:c r="D36" s="4" t="inlineStr">
        <x:is>
          <x:t xml:space="preserve">pink</x:t>
        </x:is>
      </x:c>
      <x:c r="E36" s="4" t="inlineStr">
        <x:is>
          <x:t xml:space="preserve">white</x:t>
        </x:is>
      </x:c>
      <x:c r="F36" s="4" t="inlineStr">
        <x:is>
          <x:t xml:space="preserve">cottony</x:t>
        </x:is>
      </x:c>
      <x:c r="G36" s="4" t="inlineStr">
        <x:is>
          <x:t xml:space="preserve">spreading</x:t>
        </x:is>
      </x:c>
      <x:c r="H36" s="4" t="inlineStr">
        <x:is>
          <x:t xml:space="preserve">carpet, wallpaper, wet drywall</x:t>
        </x:is>
      </x:c>
      <x:c r="I36" s="4" t="inlineStr">
        <x:is>
          <x:t xml:space="preserve">flooded materials, HVAC liners</x:t>
        </x:is>
      </x:c>
      <x:c r="J36" s="4" t="inlineStr">
        <x:is>
          <x:t xml:space="preserve">high</x:t>
        </x:is>
      </x:c>
      <x:c r="K36" s="4" t="inlineStr">
        <x:is>
          <x:t xml:space="preserve">70+</x:t>
        </x:is>
      </x:c>
      <x:c r="L36" s="4" t="inlineStr">
        <x:is>
          <x:t xml:space="preserve">15-30</x:t>
        </x:is>
      </x:c>
      <x:c r="M36" s="4" t="inlineStr">
        <x:is>
          <x:t xml:space="preserve">yes</x:t>
        </x:is>
      </x:c>
      <x:c r="N36" s="4" t="inlineStr">
        <x:is>
          <x:t xml:space="preserve">rare</x:t>
        </x:is>
      </x:c>
      <x:c r="O36" s="4" t="inlineStr">
        <x:is>
          <x:t xml:space="preserve">moderate to high</x:t>
        </x:is>
      </x:c>
      <x:c r="P36" s="4" t="inlineStr">
        <x:is>
          <x:t xml:space="preserve">some strains</x:t>
        </x:is>
      </x:c>
      <x:c r="Q36" s="4" t="inlineStr">
        <x:is>
          <x:t xml:space="preserve">remove contaminated porous materials; use PPE</x:t>
        </x:is>
      </x:c>
      <x:c r="R36" s="4" t="inlineStr">
        <x:is>
          <x:t xml:space="preserve">pink_white_growth, cottony_texture</x:t>
        </x:is>
      </x:c>
      <x:c r="S36" s="4" t="inlineStr">
        <x:is>
          <x:t xml:space="preserve">Fusarium sickle-spore group</x:t>
        </x:is>
      </x:c>
      <x:c r="T36" s="4" t="inlineStr">
        <x:is>
          <x:t xml:space="preserve">moderate</x:t>
        </x:is>
      </x:c>
      <x:c r="U36" s="4" t="inlineStr">
        <x:is>
          <x:t xml:space="preserve">toxic + allergenic</x:t>
        </x:is>
      </x:c>
      <x:c r="V36" s="4" t="inlineStr">
        <x:is>
          <x:t xml:space="preserve">48-72+ hrs after sustained wetting</x:t>
        </x:is>
      </x:c>
      <x:c r="W36" s="4" t="inlineStr">
        <x:is>
          <x:t xml:space="preserve">surface/bulk + air comparison</x:t>
        </x:is>
      </x:c>
      <x:c r="X36" s="4" t="inlineStr">
        <x:is>
          <x:t xml:space="preserve">no</x:t>
        </x:is>
      </x:c>
      <x:c r="Y36" s="4" t="inlineStr">
        <x:is>
          <x:t xml:space="preserve">pink, white, cottony, spreading</x:t>
        </x:is>
      </x:c>
      <x:c r="Z36" s="4" t="inlineStr">
        <x:is>
          <x:t xml:space="preserve">porous materials preferred; non-porous growth usually on rare</x:t>
        </x:is>
      </x:c>
    </x:row>
    <x:row r="37">
      <x:c r="A37" s="4" t="inlineStr">
        <x:is>
          <x:t xml:space="preserve">Fusarium solani</x:t>
        </x:is>
      </x:c>
      <x:c r="B37" s="4" t="inlineStr">
        <x:is>
          <x:t xml:space="preserve">Fusarium</x:t>
        </x:is>
      </x:c>
      <x:c r="C37" s="4" t="inlineStr">
        <x:is>
          <x:t xml:space="preserve">Pathogenic / Water damage mold</x:t>
        </x:is>
      </x:c>
      <x:c r="D37" s="4" t="inlineStr">
        <x:is>
          <x:t xml:space="preserve">pink</x:t>
        </x:is>
      </x:c>
      <x:c r="E37" s="4" t="inlineStr">
        <x:is>
          <x:t xml:space="preserve">white</x:t>
        </x:is>
      </x:c>
      <x:c r="F37" s="4" t="inlineStr">
        <x:is>
          <x:t xml:space="preserve">cottony</x:t>
        </x:is>
      </x:c>
      <x:c r="G37" s="4" t="inlineStr">
        <x:is>
          <x:t xml:space="preserve">spreading</x:t>
        </x:is>
      </x:c>
      <x:c r="H37" s="4" t="inlineStr">
        <x:is>
          <x:t xml:space="preserve">carpet, wallpaper, wet drywall</x:t>
        </x:is>
      </x:c>
      <x:c r="I37" s="4" t="inlineStr">
        <x:is>
          <x:t xml:space="preserve">flooded materials, HVAC liners</x:t>
        </x:is>
      </x:c>
      <x:c r="J37" s="4" t="inlineStr">
        <x:is>
          <x:t xml:space="preserve">high</x:t>
        </x:is>
      </x:c>
      <x:c r="K37" s="4" t="inlineStr">
        <x:is>
          <x:t xml:space="preserve">70+</x:t>
        </x:is>
      </x:c>
      <x:c r="L37" s="4" t="inlineStr">
        <x:is>
          <x:t xml:space="preserve">15-30</x:t>
        </x:is>
      </x:c>
      <x:c r="M37" s="4" t="inlineStr">
        <x:is>
          <x:t xml:space="preserve">yes</x:t>
        </x:is>
      </x:c>
      <x:c r="N37" s="4" t="inlineStr">
        <x:is>
          <x:t xml:space="preserve">rare</x:t>
        </x:is>
      </x:c>
      <x:c r="O37" s="4" t="inlineStr">
        <x:is>
          <x:t xml:space="preserve">moderate to high</x:t>
        </x:is>
      </x:c>
      <x:c r="P37" s="4" t="inlineStr">
        <x:is>
          <x:t xml:space="preserve">some strains</x:t>
        </x:is>
      </x:c>
      <x:c r="Q37" s="4" t="inlineStr">
        <x:is>
          <x:t xml:space="preserve">remove contaminated porous materials; use PPE</x:t>
        </x:is>
      </x:c>
      <x:c r="R37" s="4" t="inlineStr">
        <x:is>
          <x:t xml:space="preserve">pink_white_growth, cottony_texture</x:t>
        </x:is>
      </x:c>
      <x:c r="S37" s="4" t="inlineStr">
        <x:is>
          <x:t xml:space="preserve">Fusarium sickle-spore group</x:t>
        </x:is>
      </x:c>
      <x:c r="T37" s="4" t="inlineStr">
        <x:is>
          <x:t xml:space="preserve">moderate</x:t>
        </x:is>
      </x:c>
      <x:c r="U37" s="4" t="inlineStr">
        <x:is>
          <x:t xml:space="preserve">toxic + allergenic</x:t>
        </x:is>
      </x:c>
      <x:c r="V37" s="4" t="inlineStr">
        <x:is>
          <x:t xml:space="preserve">48-72+ hrs after sustained wetting</x:t>
        </x:is>
      </x:c>
      <x:c r="W37" s="4" t="inlineStr">
        <x:is>
          <x:t xml:space="preserve">surface/bulk + air comparison</x:t>
        </x:is>
      </x:c>
      <x:c r="X37" s="4" t="inlineStr">
        <x:is>
          <x:t xml:space="preserve">no</x:t>
        </x:is>
      </x:c>
      <x:c r="Y37" s="4" t="inlineStr">
        <x:is>
          <x:t xml:space="preserve">pink, white, cottony, spreading</x:t>
        </x:is>
      </x:c>
      <x:c r="Z37" s="4" t="inlineStr">
        <x:is>
          <x:t xml:space="preserve">porous materials preferred; non-porous growth usually on rare</x:t>
        </x:is>
      </x:c>
    </x:row>
    <x:row r="38">
      <x:c r="A38" s="4" t="inlineStr">
        <x:is>
          <x:t xml:space="preserve">Fusarium verticillioides</x:t>
        </x:is>
      </x:c>
      <x:c r="B38" s="4" t="inlineStr">
        <x:is>
          <x:t xml:space="preserve">Fusarium</x:t>
        </x:is>
      </x:c>
      <x:c r="C38" s="4" t="inlineStr">
        <x:is>
          <x:t xml:space="preserve">Pathogenic / Water damage mold</x:t>
        </x:is>
      </x:c>
      <x:c r="D38" s="4" t="inlineStr">
        <x:is>
          <x:t xml:space="preserve">pink</x:t>
        </x:is>
      </x:c>
      <x:c r="E38" s="4" t="inlineStr">
        <x:is>
          <x:t xml:space="preserve">white</x:t>
        </x:is>
      </x:c>
      <x:c r="F38" s="4" t="inlineStr">
        <x:is>
          <x:t xml:space="preserve">cottony</x:t>
        </x:is>
      </x:c>
      <x:c r="G38" s="4" t="inlineStr">
        <x:is>
          <x:t xml:space="preserve">spreading</x:t>
        </x:is>
      </x:c>
      <x:c r="H38" s="4" t="inlineStr">
        <x:is>
          <x:t xml:space="preserve">carpet, wallpaper, wet drywall</x:t>
        </x:is>
      </x:c>
      <x:c r="I38" s="4" t="inlineStr">
        <x:is>
          <x:t xml:space="preserve">flooded materials, HVAC liners</x:t>
        </x:is>
      </x:c>
      <x:c r="J38" s="4" t="inlineStr">
        <x:is>
          <x:t xml:space="preserve">high</x:t>
        </x:is>
      </x:c>
      <x:c r="K38" s="4" t="inlineStr">
        <x:is>
          <x:t xml:space="preserve">70+</x:t>
        </x:is>
      </x:c>
      <x:c r="L38" s="4" t="inlineStr">
        <x:is>
          <x:t xml:space="preserve">15-30</x:t>
        </x:is>
      </x:c>
      <x:c r="M38" s="4" t="inlineStr">
        <x:is>
          <x:t xml:space="preserve">yes</x:t>
        </x:is>
      </x:c>
      <x:c r="N38" s="4" t="inlineStr">
        <x:is>
          <x:t xml:space="preserve">rare</x:t>
        </x:is>
      </x:c>
      <x:c r="O38" s="4" t="inlineStr">
        <x:is>
          <x:t xml:space="preserve">moderate to high</x:t>
        </x:is>
      </x:c>
      <x:c r="P38" s="4" t="inlineStr">
        <x:is>
          <x:t xml:space="preserve">some strains</x:t>
        </x:is>
      </x:c>
      <x:c r="Q38" s="4" t="inlineStr">
        <x:is>
          <x:t xml:space="preserve">remove contaminated porous materials; use PPE</x:t>
        </x:is>
      </x:c>
      <x:c r="R38" s="4" t="inlineStr">
        <x:is>
          <x:t xml:space="preserve">pink_white_growth, cottony_texture</x:t>
        </x:is>
      </x:c>
      <x:c r="S38" s="4" t="inlineStr">
        <x:is>
          <x:t xml:space="preserve">Fusarium sickle-spore group</x:t>
        </x:is>
      </x:c>
      <x:c r="T38" s="4" t="inlineStr">
        <x:is>
          <x:t xml:space="preserve">moderate</x:t>
        </x:is>
      </x:c>
      <x:c r="U38" s="4" t="inlineStr">
        <x:is>
          <x:t xml:space="preserve">toxic + allergenic</x:t>
        </x:is>
      </x:c>
      <x:c r="V38" s="4" t="inlineStr">
        <x:is>
          <x:t xml:space="preserve">48-72+ hrs after sustained wetting</x:t>
        </x:is>
      </x:c>
      <x:c r="W38" s="4" t="inlineStr">
        <x:is>
          <x:t xml:space="preserve">surface/bulk + air comparison</x:t>
        </x:is>
      </x:c>
      <x:c r="X38" s="4" t="inlineStr">
        <x:is>
          <x:t xml:space="preserve">no</x:t>
        </x:is>
      </x:c>
      <x:c r="Y38" s="4" t="inlineStr">
        <x:is>
          <x:t xml:space="preserve">pink, white, cottony, spreading</x:t>
        </x:is>
      </x:c>
      <x:c r="Z38" s="4" t="inlineStr">
        <x:is>
          <x:t xml:space="preserve">porous materials preferred; non-porous growth usually on rare</x:t>
        </x:is>
      </x:c>
    </x:row>
    <x:row r="39">
      <x:c r="A39" s="4" t="inlineStr">
        <x:is>
          <x:t xml:space="preserve">Fusarium proliferatum</x:t>
        </x:is>
      </x:c>
      <x:c r="B39" s="4" t="inlineStr">
        <x:is>
          <x:t xml:space="preserve">Fusarium</x:t>
        </x:is>
      </x:c>
      <x:c r="C39" s="4" t="inlineStr">
        <x:is>
          <x:t xml:space="preserve">Pathogenic / Water damage mold</x:t>
        </x:is>
      </x:c>
      <x:c r="D39" s="4" t="inlineStr">
        <x:is>
          <x:t xml:space="preserve">pink</x:t>
        </x:is>
      </x:c>
      <x:c r="E39" s="4" t="inlineStr">
        <x:is>
          <x:t xml:space="preserve">white</x:t>
        </x:is>
      </x:c>
      <x:c r="F39" s="4" t="inlineStr">
        <x:is>
          <x:t xml:space="preserve">cottony</x:t>
        </x:is>
      </x:c>
      <x:c r="G39" s="4" t="inlineStr">
        <x:is>
          <x:t xml:space="preserve">spreading</x:t>
        </x:is>
      </x:c>
      <x:c r="H39" s="4" t="inlineStr">
        <x:is>
          <x:t xml:space="preserve">carpet, wallpaper, wet drywall</x:t>
        </x:is>
      </x:c>
      <x:c r="I39" s="4" t="inlineStr">
        <x:is>
          <x:t xml:space="preserve">flooded materials, HVAC liners</x:t>
        </x:is>
      </x:c>
      <x:c r="J39" s="4" t="inlineStr">
        <x:is>
          <x:t xml:space="preserve">high</x:t>
        </x:is>
      </x:c>
      <x:c r="K39" s="4" t="inlineStr">
        <x:is>
          <x:t xml:space="preserve">70+</x:t>
        </x:is>
      </x:c>
      <x:c r="L39" s="4" t="inlineStr">
        <x:is>
          <x:t xml:space="preserve">15-30</x:t>
        </x:is>
      </x:c>
      <x:c r="M39" s="4" t="inlineStr">
        <x:is>
          <x:t xml:space="preserve">yes</x:t>
        </x:is>
      </x:c>
      <x:c r="N39" s="4" t="inlineStr">
        <x:is>
          <x:t xml:space="preserve">rare</x:t>
        </x:is>
      </x:c>
      <x:c r="O39" s="4" t="inlineStr">
        <x:is>
          <x:t xml:space="preserve">moderate to high</x:t>
        </x:is>
      </x:c>
      <x:c r="P39" s="4" t="inlineStr">
        <x:is>
          <x:t xml:space="preserve">some strains</x:t>
        </x:is>
      </x:c>
      <x:c r="Q39" s="4" t="inlineStr">
        <x:is>
          <x:t xml:space="preserve">remove contaminated porous materials; use PPE</x:t>
        </x:is>
      </x:c>
      <x:c r="R39" s="4" t="inlineStr">
        <x:is>
          <x:t xml:space="preserve">pink_white_growth, cottony_texture</x:t>
        </x:is>
      </x:c>
      <x:c r="S39" s="4" t="inlineStr">
        <x:is>
          <x:t xml:space="preserve">Fusarium sickle-spore group</x:t>
        </x:is>
      </x:c>
      <x:c r="T39" s="4" t="inlineStr">
        <x:is>
          <x:t xml:space="preserve">moderate</x:t>
        </x:is>
      </x:c>
      <x:c r="U39" s="4" t="inlineStr">
        <x:is>
          <x:t xml:space="preserve">toxic + allergenic</x:t>
        </x:is>
      </x:c>
      <x:c r="V39" s="4" t="inlineStr">
        <x:is>
          <x:t xml:space="preserve">48-72+ hrs after sustained wetting</x:t>
        </x:is>
      </x:c>
      <x:c r="W39" s="4" t="inlineStr">
        <x:is>
          <x:t xml:space="preserve">surface/bulk + air comparison</x:t>
        </x:is>
      </x:c>
      <x:c r="X39" s="4" t="inlineStr">
        <x:is>
          <x:t xml:space="preserve">no</x:t>
        </x:is>
      </x:c>
      <x:c r="Y39" s="4" t="inlineStr">
        <x:is>
          <x:t xml:space="preserve">pink, white, cottony, spreading</x:t>
        </x:is>
      </x:c>
      <x:c r="Z39" s="4" t="inlineStr">
        <x:is>
          <x:t xml:space="preserve">porous materials preferred; non-porous growth usually on rare</x:t>
        </x:is>
      </x:c>
    </x:row>
    <x:row r="40">
      <x:c r="A40" s="4" t="inlineStr">
        <x:is>
          <x:t xml:space="preserve">Fusarium dimerum</x:t>
        </x:is>
      </x:c>
      <x:c r="B40" s="4" t="inlineStr">
        <x:is>
          <x:t xml:space="preserve">Fusarium</x:t>
        </x:is>
      </x:c>
      <x:c r="C40" s="4" t="inlineStr">
        <x:is>
          <x:t xml:space="preserve">Pathogenic / Water damage mold</x:t>
        </x:is>
      </x:c>
      <x:c r="D40" s="4" t="inlineStr">
        <x:is>
          <x:t xml:space="preserve">pink</x:t>
        </x:is>
      </x:c>
      <x:c r="E40" s="4" t="inlineStr">
        <x:is>
          <x:t xml:space="preserve">white</x:t>
        </x:is>
      </x:c>
      <x:c r="F40" s="4" t="inlineStr">
        <x:is>
          <x:t xml:space="preserve">cottony</x:t>
        </x:is>
      </x:c>
      <x:c r="G40" s="4" t="inlineStr">
        <x:is>
          <x:t xml:space="preserve">spreading</x:t>
        </x:is>
      </x:c>
      <x:c r="H40" s="4" t="inlineStr">
        <x:is>
          <x:t xml:space="preserve">carpet, wallpaper, wet drywall</x:t>
        </x:is>
      </x:c>
      <x:c r="I40" s="4" t="inlineStr">
        <x:is>
          <x:t xml:space="preserve">flooded materials, HVAC liners</x:t>
        </x:is>
      </x:c>
      <x:c r="J40" s="4" t="inlineStr">
        <x:is>
          <x:t xml:space="preserve">high</x:t>
        </x:is>
      </x:c>
      <x:c r="K40" s="4" t="inlineStr">
        <x:is>
          <x:t xml:space="preserve">70+</x:t>
        </x:is>
      </x:c>
      <x:c r="L40" s="4" t="inlineStr">
        <x:is>
          <x:t xml:space="preserve">15-30</x:t>
        </x:is>
      </x:c>
      <x:c r="M40" s="4" t="inlineStr">
        <x:is>
          <x:t xml:space="preserve">yes</x:t>
        </x:is>
      </x:c>
      <x:c r="N40" s="4" t="inlineStr">
        <x:is>
          <x:t xml:space="preserve">rare</x:t>
        </x:is>
      </x:c>
      <x:c r="O40" s="4" t="inlineStr">
        <x:is>
          <x:t xml:space="preserve">moderate to high</x:t>
        </x:is>
      </x:c>
      <x:c r="P40" s="4" t="inlineStr">
        <x:is>
          <x:t xml:space="preserve">some strains</x:t>
        </x:is>
      </x:c>
      <x:c r="Q40" s="4" t="inlineStr">
        <x:is>
          <x:t xml:space="preserve">remove contaminated porous materials; use PPE</x:t>
        </x:is>
      </x:c>
      <x:c r="R40" s="4" t="inlineStr">
        <x:is>
          <x:t xml:space="preserve">pink_white_growth, cottony_texture</x:t>
        </x:is>
      </x:c>
      <x:c r="S40" s="4" t="inlineStr">
        <x:is>
          <x:t xml:space="preserve">Fusarium sickle-spore group</x:t>
        </x:is>
      </x:c>
      <x:c r="T40" s="4" t="inlineStr">
        <x:is>
          <x:t xml:space="preserve">moderate</x:t>
        </x:is>
      </x:c>
      <x:c r="U40" s="4" t="inlineStr">
        <x:is>
          <x:t xml:space="preserve">toxic + allergenic</x:t>
        </x:is>
      </x:c>
      <x:c r="V40" s="4" t="inlineStr">
        <x:is>
          <x:t xml:space="preserve">48-72+ hrs after sustained wetting</x:t>
        </x:is>
      </x:c>
      <x:c r="W40" s="4" t="inlineStr">
        <x:is>
          <x:t xml:space="preserve">surface/bulk + air comparison</x:t>
        </x:is>
      </x:c>
      <x:c r="X40" s="4" t="inlineStr">
        <x:is>
          <x:t xml:space="preserve">no</x:t>
        </x:is>
      </x:c>
      <x:c r="Y40" s="4" t="inlineStr">
        <x:is>
          <x:t xml:space="preserve">pink, white, cottony, spreading</x:t>
        </x:is>
      </x:c>
      <x:c r="Z40" s="4" t="inlineStr">
        <x:is>
          <x:t xml:space="preserve">porous materials preferred; non-porous growth usually on rare</x:t>
        </x:is>
      </x:c>
    </x:row>
    <x:row r="41">
      <x:c r="A41" s="4" t="inlineStr">
        <x:is>
          <x:t xml:space="preserve">Trichoderma viride</x:t>
        </x:is>
      </x:c>
      <x:c r="B41" s="4" t="inlineStr">
        <x:is>
          <x:t xml:space="preserve">Trichoderma</x:t>
        </x:is>
      </x:c>
      <x:c r="C41" s="4" t="inlineStr">
        <x:is>
          <x:t xml:space="preserve">Water damage mold</x:t>
        </x:is>
      </x:c>
      <x:c r="D41" s="4" t="inlineStr">
        <x:is>
          <x:t xml:space="preserve">bright green</x:t>
        </x:is>
      </x:c>
      <x:c r="E41" s="4" t="inlineStr">
        <x:is>
          <x:t xml:space="preserve">white</x:t>
        </x:is>
      </x:c>
      <x:c r="F41" s="4" t="inlineStr">
        <x:is>
          <x:t xml:space="preserve">dense</x:t>
        </x:is>
      </x:c>
      <x:c r="G41" s="4" t="inlineStr">
        <x:is>
          <x:t xml:space="preserve">patchy</x:t>
        </x:is>
      </x:c>
      <x:c r="H41" s="4" t="inlineStr">
        <x:is>
          <x:t xml:space="preserve">wet wood, drywall, paper</x:t>
        </x:is>
      </x:c>
      <x:c r="I41" s="4" t="inlineStr">
        <x:is>
          <x:t xml:space="preserve">leak areas, framing cavities</x:t>
        </x:is>
      </x:c>
      <x:c r="J41" s="4" t="inlineStr">
        <x:is>
          <x:t xml:space="preserve">high</x:t>
        </x:is>
      </x:c>
      <x:c r="K41" s="4" t="inlineStr">
        <x:is>
          <x:t xml:space="preserve">70+</x:t>
        </x:is>
      </x:c>
      <x:c r="L41" s="4" t="inlineStr">
        <x:is>
          <x:t xml:space="preserve">18-32</x:t>
        </x:is>
      </x:c>
      <x:c r="M41" s="4" t="inlineStr">
        <x:is>
          <x:t xml:space="preserve">yes</x:t>
        </x:is>
      </x:c>
      <x:c r="N41" s="4" t="inlineStr">
        <x:is>
          <x:t xml:space="preserve">rare</x:t>
        </x:is>
      </x:c>
      <x:c r="O41" s="4" t="inlineStr">
        <x:is>
          <x:t xml:space="preserve">moderate</x:t>
        </x:is>
      </x:c>
      <x:c r="P41" s="4" t="inlineStr">
        <x:is>
          <x:t xml:space="preserve">possible</x:t>
        </x:is>
      </x:c>
      <x:c r="Q41" s="4" t="inlineStr">
        <x:is>
          <x:t xml:space="preserve">remove wet porous materials; dry source</x:t>
        </x:is>
      </x:c>
      <x:c r="R41" s="4" t="inlineStr">
        <x:is>
          <x:t xml:space="preserve">bright_green_patch, dense_colony</x:t>
        </x:is>
      </x:c>
      <x:c r="S41" s="4" t="inlineStr">
        <x:is>
          <x:t xml:space="preserve">Aspergillus/Penicillium-like</x:t>
        </x:is>
      </x:c>
      <x:c r="T41" s="4" t="inlineStr">
        <x:is>
          <x:t xml:space="preserve">moderate</x:t>
        </x:is>
      </x:c>
      <x:c r="U41" s="4" t="inlineStr">
        <x:is>
          <x:t xml:space="preserve">toxic + allergenic</x:t>
        </x:is>
      </x:c>
      <x:c r="V41" s="4" t="inlineStr">
        <x:is>
          <x:t xml:space="preserve">48-72+ hrs after sustained wetting</x:t>
        </x:is>
      </x:c>
      <x:c r="W41" s="4" t="inlineStr">
        <x:is>
          <x:t xml:space="preserve">air + surface/bulk</x:t>
        </x:is>
      </x:c>
      <x:c r="X41" s="4" t="inlineStr">
        <x:is>
          <x:t xml:space="preserve">yes</x:t>
        </x:is>
      </x:c>
      <x:c r="Y41" s="4" t="inlineStr">
        <x:is>
          <x:t xml:space="preserve">bright green, white, dense, patchy</x:t>
        </x:is>
      </x:c>
      <x:c r="Z41" s="4" t="inlineStr">
        <x:is>
          <x:t xml:space="preserve">porous materials preferred; non-porous growth usually on rare</x:t>
        </x:is>
      </x:c>
    </x:row>
    <x:row r="42">
      <x:c r="A42" s="4" t="inlineStr">
        <x:is>
          <x:t xml:space="preserve">Trichoderma harzianum</x:t>
        </x:is>
      </x:c>
      <x:c r="B42" s="4" t="inlineStr">
        <x:is>
          <x:t xml:space="preserve">Trichoderma</x:t>
        </x:is>
      </x:c>
      <x:c r="C42" s="4" t="inlineStr">
        <x:is>
          <x:t xml:space="preserve">Water damage mold</x:t>
        </x:is>
      </x:c>
      <x:c r="D42" s="4" t="inlineStr">
        <x:is>
          <x:t xml:space="preserve">bright green</x:t>
        </x:is>
      </x:c>
      <x:c r="E42" s="4" t="inlineStr">
        <x:is>
          <x:t xml:space="preserve">white</x:t>
        </x:is>
      </x:c>
      <x:c r="F42" s="4" t="inlineStr">
        <x:is>
          <x:t xml:space="preserve">dense</x:t>
        </x:is>
      </x:c>
      <x:c r="G42" s="4" t="inlineStr">
        <x:is>
          <x:t xml:space="preserve">patchy</x:t>
        </x:is>
      </x:c>
      <x:c r="H42" s="4" t="inlineStr">
        <x:is>
          <x:t xml:space="preserve">wet wood, drywall, paper</x:t>
        </x:is>
      </x:c>
      <x:c r="I42" s="4" t="inlineStr">
        <x:is>
          <x:t xml:space="preserve">leak areas, framing cavities</x:t>
        </x:is>
      </x:c>
      <x:c r="J42" s="4" t="inlineStr">
        <x:is>
          <x:t xml:space="preserve">high</x:t>
        </x:is>
      </x:c>
      <x:c r="K42" s="4" t="inlineStr">
        <x:is>
          <x:t xml:space="preserve">70+</x:t>
        </x:is>
      </x:c>
      <x:c r="L42" s="4" t="inlineStr">
        <x:is>
          <x:t xml:space="preserve">18-32</x:t>
        </x:is>
      </x:c>
      <x:c r="M42" s="4" t="inlineStr">
        <x:is>
          <x:t xml:space="preserve">yes</x:t>
        </x:is>
      </x:c>
      <x:c r="N42" s="4" t="inlineStr">
        <x:is>
          <x:t xml:space="preserve">rare</x:t>
        </x:is>
      </x:c>
      <x:c r="O42" s="4" t="inlineStr">
        <x:is>
          <x:t xml:space="preserve">moderate</x:t>
        </x:is>
      </x:c>
      <x:c r="P42" s="4" t="inlineStr">
        <x:is>
          <x:t xml:space="preserve">possible</x:t>
        </x:is>
      </x:c>
      <x:c r="Q42" s="4" t="inlineStr">
        <x:is>
          <x:t xml:space="preserve">remove wet porous materials; dry source</x:t>
        </x:is>
      </x:c>
      <x:c r="R42" s="4" t="inlineStr">
        <x:is>
          <x:t xml:space="preserve">bright_green_patch, dense_colony</x:t>
        </x:is>
      </x:c>
      <x:c r="S42" s="4" t="inlineStr">
        <x:is>
          <x:t xml:space="preserve">Aspergillus/Penicillium-like</x:t>
        </x:is>
      </x:c>
      <x:c r="T42" s="4" t="inlineStr">
        <x:is>
          <x:t xml:space="preserve">moderate</x:t>
        </x:is>
      </x:c>
      <x:c r="U42" s="4" t="inlineStr">
        <x:is>
          <x:t xml:space="preserve">toxic + allergenic</x:t>
        </x:is>
      </x:c>
      <x:c r="V42" s="4" t="inlineStr">
        <x:is>
          <x:t xml:space="preserve">48-72+ hrs after sustained wetting</x:t>
        </x:is>
      </x:c>
      <x:c r="W42" s="4" t="inlineStr">
        <x:is>
          <x:t xml:space="preserve">air + surface/bulk</x:t>
        </x:is>
      </x:c>
      <x:c r="X42" s="4" t="inlineStr">
        <x:is>
          <x:t xml:space="preserve">yes</x:t>
        </x:is>
      </x:c>
      <x:c r="Y42" s="4" t="inlineStr">
        <x:is>
          <x:t xml:space="preserve">bright green, white, dense, patchy</x:t>
        </x:is>
      </x:c>
      <x:c r="Z42" s="4" t="inlineStr">
        <x:is>
          <x:t xml:space="preserve">porous materials preferred; non-porous growth usually on rare</x:t>
        </x:is>
      </x:c>
    </x:row>
    <x:row r="43">
      <x:c r="A43" s="4" t="inlineStr">
        <x:is>
          <x:t xml:space="preserve">Trichoderma koningii</x:t>
        </x:is>
      </x:c>
      <x:c r="B43" s="4" t="inlineStr">
        <x:is>
          <x:t xml:space="preserve">Trichoderma</x:t>
        </x:is>
      </x:c>
      <x:c r="C43" s="4" t="inlineStr">
        <x:is>
          <x:t xml:space="preserve">Water damage mold</x:t>
        </x:is>
      </x:c>
      <x:c r="D43" s="4" t="inlineStr">
        <x:is>
          <x:t xml:space="preserve">bright green</x:t>
        </x:is>
      </x:c>
      <x:c r="E43" s="4" t="inlineStr">
        <x:is>
          <x:t xml:space="preserve">white</x:t>
        </x:is>
      </x:c>
      <x:c r="F43" s="4" t="inlineStr">
        <x:is>
          <x:t xml:space="preserve">dense</x:t>
        </x:is>
      </x:c>
      <x:c r="G43" s="4" t="inlineStr">
        <x:is>
          <x:t xml:space="preserve">patchy</x:t>
        </x:is>
      </x:c>
      <x:c r="H43" s="4" t="inlineStr">
        <x:is>
          <x:t xml:space="preserve">wet wood, drywall, paper</x:t>
        </x:is>
      </x:c>
      <x:c r="I43" s="4" t="inlineStr">
        <x:is>
          <x:t xml:space="preserve">leak areas, framing cavities</x:t>
        </x:is>
      </x:c>
      <x:c r="J43" s="4" t="inlineStr">
        <x:is>
          <x:t xml:space="preserve">high</x:t>
        </x:is>
      </x:c>
      <x:c r="K43" s="4" t="inlineStr">
        <x:is>
          <x:t xml:space="preserve">70+</x:t>
        </x:is>
      </x:c>
      <x:c r="L43" s="4" t="inlineStr">
        <x:is>
          <x:t xml:space="preserve">18-32</x:t>
        </x:is>
      </x:c>
      <x:c r="M43" s="4" t="inlineStr">
        <x:is>
          <x:t xml:space="preserve">yes</x:t>
        </x:is>
      </x:c>
      <x:c r="N43" s="4" t="inlineStr">
        <x:is>
          <x:t xml:space="preserve">rare</x:t>
        </x:is>
      </x:c>
      <x:c r="O43" s="4" t="inlineStr">
        <x:is>
          <x:t xml:space="preserve">moderate</x:t>
        </x:is>
      </x:c>
      <x:c r="P43" s="4" t="inlineStr">
        <x:is>
          <x:t xml:space="preserve">possible</x:t>
        </x:is>
      </x:c>
      <x:c r="Q43" s="4" t="inlineStr">
        <x:is>
          <x:t xml:space="preserve">remove wet porous materials; dry source</x:t>
        </x:is>
      </x:c>
      <x:c r="R43" s="4" t="inlineStr">
        <x:is>
          <x:t xml:space="preserve">bright_green_patch, dense_colony</x:t>
        </x:is>
      </x:c>
      <x:c r="S43" s="4" t="inlineStr">
        <x:is>
          <x:t xml:space="preserve">Aspergillus/Penicillium-like</x:t>
        </x:is>
      </x:c>
      <x:c r="T43" s="4" t="inlineStr">
        <x:is>
          <x:t xml:space="preserve">moderate</x:t>
        </x:is>
      </x:c>
      <x:c r="U43" s="4" t="inlineStr">
        <x:is>
          <x:t xml:space="preserve">toxic + allergenic</x:t>
        </x:is>
      </x:c>
      <x:c r="V43" s="4" t="inlineStr">
        <x:is>
          <x:t xml:space="preserve">48-72+ hrs after sustained wetting</x:t>
        </x:is>
      </x:c>
      <x:c r="W43" s="4" t="inlineStr">
        <x:is>
          <x:t xml:space="preserve">air + surface/bulk</x:t>
        </x:is>
      </x:c>
      <x:c r="X43" s="4" t="inlineStr">
        <x:is>
          <x:t xml:space="preserve">yes</x:t>
        </x:is>
      </x:c>
      <x:c r="Y43" s="4" t="inlineStr">
        <x:is>
          <x:t xml:space="preserve">bright green, white, dense, patchy</x:t>
        </x:is>
      </x:c>
      <x:c r="Z43" s="4" t="inlineStr">
        <x:is>
          <x:t xml:space="preserve">porous materials preferred; non-porous growth usually on rare</x:t>
        </x:is>
      </x:c>
    </x:row>
    <x:row r="44">
      <x:c r="A44" s="4" t="inlineStr">
        <x:is>
          <x:t xml:space="preserve">Trichoderma longibrachiatum</x:t>
        </x:is>
      </x:c>
      <x:c r="B44" s="4" t="inlineStr">
        <x:is>
          <x:t xml:space="preserve">Trichoderma</x:t>
        </x:is>
      </x:c>
      <x:c r="C44" s="4" t="inlineStr">
        <x:is>
          <x:t xml:space="preserve">Water damage mold</x:t>
        </x:is>
      </x:c>
      <x:c r="D44" s="4" t="inlineStr">
        <x:is>
          <x:t xml:space="preserve">bright green</x:t>
        </x:is>
      </x:c>
      <x:c r="E44" s="4" t="inlineStr">
        <x:is>
          <x:t xml:space="preserve">white</x:t>
        </x:is>
      </x:c>
      <x:c r="F44" s="4" t="inlineStr">
        <x:is>
          <x:t xml:space="preserve">dense</x:t>
        </x:is>
      </x:c>
      <x:c r="G44" s="4" t="inlineStr">
        <x:is>
          <x:t xml:space="preserve">patchy</x:t>
        </x:is>
      </x:c>
      <x:c r="H44" s="4" t="inlineStr">
        <x:is>
          <x:t xml:space="preserve">wet wood, drywall, paper</x:t>
        </x:is>
      </x:c>
      <x:c r="I44" s="4" t="inlineStr">
        <x:is>
          <x:t xml:space="preserve">leak areas, framing cavities</x:t>
        </x:is>
      </x:c>
      <x:c r="J44" s="4" t="inlineStr">
        <x:is>
          <x:t xml:space="preserve">high</x:t>
        </x:is>
      </x:c>
      <x:c r="K44" s="4" t="inlineStr">
        <x:is>
          <x:t xml:space="preserve">70+</x:t>
        </x:is>
      </x:c>
      <x:c r="L44" s="4" t="inlineStr">
        <x:is>
          <x:t xml:space="preserve">18-32</x:t>
        </x:is>
      </x:c>
      <x:c r="M44" s="4" t="inlineStr">
        <x:is>
          <x:t xml:space="preserve">yes</x:t>
        </x:is>
      </x:c>
      <x:c r="N44" s="4" t="inlineStr">
        <x:is>
          <x:t xml:space="preserve">rare</x:t>
        </x:is>
      </x:c>
      <x:c r="O44" s="4" t="inlineStr">
        <x:is>
          <x:t xml:space="preserve">moderate</x:t>
        </x:is>
      </x:c>
      <x:c r="P44" s="4" t="inlineStr">
        <x:is>
          <x:t xml:space="preserve">possible</x:t>
        </x:is>
      </x:c>
      <x:c r="Q44" s="4" t="inlineStr">
        <x:is>
          <x:t xml:space="preserve">remove wet porous materials; dry source</x:t>
        </x:is>
      </x:c>
      <x:c r="R44" s="4" t="inlineStr">
        <x:is>
          <x:t xml:space="preserve">bright_green_patch, dense_colony</x:t>
        </x:is>
      </x:c>
      <x:c r="S44" s="4" t="inlineStr">
        <x:is>
          <x:t xml:space="preserve">Aspergillus/Penicillium-like</x:t>
        </x:is>
      </x:c>
      <x:c r="T44" s="4" t="inlineStr">
        <x:is>
          <x:t xml:space="preserve">moderate</x:t>
        </x:is>
      </x:c>
      <x:c r="U44" s="4" t="inlineStr">
        <x:is>
          <x:t xml:space="preserve">toxic + allergenic</x:t>
        </x:is>
      </x:c>
      <x:c r="V44" s="4" t="inlineStr">
        <x:is>
          <x:t xml:space="preserve">48-72+ hrs after sustained wetting</x:t>
        </x:is>
      </x:c>
      <x:c r="W44" s="4" t="inlineStr">
        <x:is>
          <x:t xml:space="preserve">air + surface/bulk</x:t>
        </x:is>
      </x:c>
      <x:c r="X44" s="4" t="inlineStr">
        <x:is>
          <x:t xml:space="preserve">yes</x:t>
        </x:is>
      </x:c>
      <x:c r="Y44" s="4" t="inlineStr">
        <x:is>
          <x:t xml:space="preserve">bright green, white, dense, patchy</x:t>
        </x:is>
      </x:c>
      <x:c r="Z44" s="4" t="inlineStr">
        <x:is>
          <x:t xml:space="preserve">porous materials preferred; non-porous growth usually on rare</x:t>
        </x:is>
      </x:c>
    </x:row>
    <x:row r="45">
      <x:c r="A45" s="4" t="inlineStr">
        <x:is>
          <x:t xml:space="preserve">Aureobasidium pullulans</x:t>
        </x:is>
      </x:c>
      <x:c r="B45" s="4" t="inlineStr">
        <x:is>
          <x:t xml:space="preserve">Aureobasidium</x:t>
        </x:is>
      </x:c>
      <x:c r="C45" s="4" t="inlineStr">
        <x:is>
          <x:t xml:space="preserve">Common indoor</x:t>
        </x:is>
      </x:c>
      <x:c r="D45" s="4" t="inlineStr">
        <x:is>
          <x:t xml:space="preserve">pink</x:t>
        </x:is>
      </x:c>
      <x:c r="E45" s="4" t="inlineStr">
        <x:is>
          <x:t xml:space="preserve">black</x:t>
        </x:is>
      </x:c>
      <x:c r="F45" s="4" t="inlineStr">
        <x:is>
          <x:t xml:space="preserve">slimy to smooth</x:t>
        </x:is>
      </x:c>
      <x:c r="G45" s="4" t="inlineStr">
        <x:is>
          <x:t xml:space="preserve">streaky</x:t>
        </x:is>
      </x:c>
      <x:c r="H45" s="4" t="inlineStr">
        <x:is>
          <x:t xml:space="preserve">painted wood, caulk</x:t>
        </x:is>
      </x:c>
      <x:c r="I45" s="4" t="inlineStr">
        <x:is>
          <x:t xml:space="preserve">window frames, bathrooms</x:t>
        </x:is>
      </x:c>
      <x:c r="J45" s="4" t="inlineStr">
        <x:is>
          <x:t xml:space="preserve">moderate</x:t>
        </x:is>
      </x:c>
      <x:c r="K45" s="4" t="inlineStr">
        <x:is>
          <x:t xml:space="preserve">65+</x:t>
        </x:is>
      </x:c>
      <x:c r="L45" s="4" t="inlineStr">
        <x:is>
          <x:t xml:space="preserve">10-35</x:t>
        </x:is>
      </x:c>
      <x:c r="M45" s="4" t="inlineStr">
        <x:is>
          <x:t xml:space="preserve">yes</x:t>
        </x:is>
      </x:c>
      <x:c r="N45" s="4" t="inlineStr">
        <x:is>
          <x:t xml:space="preserve">possible</x:t>
        </x:is>
      </x:c>
      <x:c r="O45" s="4" t="inlineStr">
        <x:is>
          <x:t xml:space="preserve">low to moderate</x:t>
        </x:is>
      </x:c>
      <x:c r="P45" s="4" t="inlineStr">
        <x:is>
          <x:t xml:space="preserve">no</x:t>
        </x:is>
      </x:c>
      <x:c r="Q45" s="4" t="inlineStr">
        <x:is>
          <x:t xml:space="preserve">clean with detergent; reduce condensation</x:t>
        </x:is>
      </x:c>
      <x:c r="R45" s="4" t="inlineStr">
        <x:is>
          <x:t xml:space="preserve">pink_black_streaks, glossy_growth</x:t>
        </x:is>
      </x:c>
      <x:c r="S45" s="4" t="inlineStr">
        <x:is>
          <x:t xml:space="preserve">Aureobasidium visual group</x:t>
        </x:is>
      </x:c>
      <x:c r="T45" s="4" t="inlineStr">
        <x:is>
          <x:t xml:space="preserve">moderate</x:t>
        </x:is>
      </x:c>
      <x:c r="U45" s="4" t="inlineStr">
        <x:is>
          <x:t xml:space="preserve">common indoor / allergen potential</x:t>
        </x:is>
      </x:c>
      <x:c r="V45" s="4" t="inlineStr">
        <x:is>
          <x:t xml:space="preserve">24-48 hrs with persistent humidity</x:t>
        </x:is>
      </x:c>
      <x:c r="W45" s="4" t="inlineStr">
        <x:is>
          <x:t xml:space="preserve">air and/or surface depending on context</x:t>
        </x:is>
      </x:c>
      <x:c r="X45" s="4" t="inlineStr">
        <x:is>
          <x:t xml:space="preserve">no</x:t>
        </x:is>
      </x:c>
      <x:c r="Y45" s="4" t="inlineStr">
        <x:is>
          <x:t xml:space="preserve">pink, black, slimy to smooth, streaky</x:t>
        </x:is>
      </x:c>
      <x:c r="Z45" s="4" t="inlineStr">
        <x:is>
          <x:t xml:space="preserve">porous materials preferred; non-porous growth usually on possible</x:t>
        </x:is>
      </x:c>
    </x:row>
    <x:row r="46">
      <x:c r="A46" s="4" t="inlineStr">
        <x:is>
          <x:t xml:space="preserve">Mucor racemosus</x:t>
        </x:is>
      </x:c>
      <x:c r="B46" s="4" t="inlineStr">
        <x:is>
          <x:t xml:space="preserve">Mucor</x:t>
        </x:is>
      </x:c>
      <x:c r="C46" s="4" t="inlineStr">
        <x:is>
          <x:t xml:space="preserve">Fast-growing indoor</x:t>
        </x:is>
      </x:c>
      <x:c r="D46" s="4" t="inlineStr">
        <x:is>
          <x:t xml:space="preserve">white</x:t>
        </x:is>
      </x:c>
      <x:c r="E46" s="4" t="inlineStr">
        <x:is>
          <x:t xml:space="preserve">gray</x:t>
        </x:is>
      </x:c>
      <x:c r="F46" s="4" t="inlineStr">
        <x:is>
          <x:t xml:space="preserve">fuzzy</x:t>
        </x:is>
      </x:c>
      <x:c r="G46" s="4" t="inlineStr">
        <x:is>
          <x:t xml:space="preserve">rapid spreading</x:t>
        </x:is>
      </x:c>
      <x:c r="H46" s="4" t="inlineStr">
        <x:is>
          <x:t xml:space="preserve">food residue, dust, wet drywall</x:t>
        </x:is>
      </x:c>
      <x:c r="I46" s="4" t="inlineStr">
        <x:is>
          <x:t xml:space="preserve">kitchens, basements</x:t>
        </x:is>
      </x:c>
      <x:c r="J46" s="4" t="inlineStr">
        <x:is>
          <x:t xml:space="preserve">high</x:t>
        </x:is>
      </x:c>
      <x:c r="K46" s="4" t="inlineStr">
        <x:is>
          <x:t xml:space="preserve">70+</x:t>
        </x:is>
      </x:c>
      <x:c r="L46" s="4" t="inlineStr">
        <x:is>
          <x:t xml:space="preserve">10-30</x:t>
        </x:is>
      </x:c>
      <x:c r="M46" s="4" t="inlineStr">
        <x:is>
          <x:t xml:space="preserve">yes</x:t>
        </x:is>
      </x:c>
      <x:c r="N46" s="4" t="inlineStr">
        <x:is>
          <x:t xml:space="preserve">possible via debris</x:t>
        </x:is>
      </x:c>
      <x:c r="O46" s="4" t="inlineStr">
        <x:is>
          <x:t xml:space="preserve">low to moderate</x:t>
        </x:is>
      </x:c>
      <x:c r="P46" s="4" t="inlineStr">
        <x:is>
          <x:t xml:space="preserve">no</x:t>
        </x:is>
      </x:c>
      <x:c r="Q46" s="4" t="inlineStr">
        <x:is>
          <x:t xml:space="preserve">clean and dry promptly; discard heavily colonized materials</x:t>
        </x:is>
      </x:c>
      <x:c r="R46" s="4" t="inlineStr">
        <x:is>
          <x:t xml:space="preserve">white_fuzzy, rapid_spread</x:t>
        </x:is>
      </x:c>
      <x:c r="S46" s="4" t="inlineStr">
        <x:is>
          <x:t xml:space="preserve">Zygomycete-like fast-growth group</x:t>
        </x:is>
      </x:c>
      <x:c r="T46" s="4" t="inlineStr">
        <x:is>
          <x:t xml:space="preserve">high</x:t>
        </x:is>
      </x:c>
      <x:c r="U46" s="4" t="inlineStr">
        <x:is>
          <x:t xml:space="preserve">allergenic + opportunistic infectious</x:t>
        </x:is>
      </x:c>
      <x:c r="V46" s="4" t="inlineStr">
        <x:is>
          <x:t xml:space="preserve">48-72+ hrs after sustained wetting</x:t>
        </x:is>
      </x:c>
      <x:c r="W46" s="4" t="inlineStr">
        <x:is>
          <x:t xml:space="preserve">air and/or surface depending on context</x:t>
        </x:is>
      </x:c>
      <x:c r="X46" s="4" t="inlineStr">
        <x:is>
          <x:t xml:space="preserve">no</x:t>
        </x:is>
      </x:c>
      <x:c r="Y46" s="4" t="inlineStr">
        <x:is>
          <x:t xml:space="preserve">white, gray, fuzzy, rapid spreading</x:t>
        </x:is>
      </x:c>
      <x:c r="Z46" s="4" t="inlineStr">
        <x:is>
          <x:t xml:space="preserve">porous materials preferred; non-porous growth usually on possible via debris</x:t>
        </x:is>
      </x:c>
    </x:row>
    <x:row r="47">
      <x:c r="A47" s="4" t="inlineStr">
        <x:is>
          <x:t xml:space="preserve">Mucor circinelloides</x:t>
        </x:is>
      </x:c>
      <x:c r="B47" s="4" t="inlineStr">
        <x:is>
          <x:t xml:space="preserve">Mucor</x:t>
        </x:is>
      </x:c>
      <x:c r="C47" s="4" t="inlineStr">
        <x:is>
          <x:t xml:space="preserve">Fast-growing indoor</x:t>
        </x:is>
      </x:c>
      <x:c r="D47" s="4" t="inlineStr">
        <x:is>
          <x:t xml:space="preserve">white</x:t>
        </x:is>
      </x:c>
      <x:c r="E47" s="4" t="inlineStr">
        <x:is>
          <x:t xml:space="preserve">gray</x:t>
        </x:is>
      </x:c>
      <x:c r="F47" s="4" t="inlineStr">
        <x:is>
          <x:t xml:space="preserve">fuzzy</x:t>
        </x:is>
      </x:c>
      <x:c r="G47" s="4" t="inlineStr">
        <x:is>
          <x:t xml:space="preserve">rapid spreading</x:t>
        </x:is>
      </x:c>
      <x:c r="H47" s="4" t="inlineStr">
        <x:is>
          <x:t xml:space="preserve">food residue, dust, wet drywall</x:t>
        </x:is>
      </x:c>
      <x:c r="I47" s="4" t="inlineStr">
        <x:is>
          <x:t xml:space="preserve">kitchens, basements</x:t>
        </x:is>
      </x:c>
      <x:c r="J47" s="4" t="inlineStr">
        <x:is>
          <x:t xml:space="preserve">high</x:t>
        </x:is>
      </x:c>
      <x:c r="K47" s="4" t="inlineStr">
        <x:is>
          <x:t xml:space="preserve">70+</x:t>
        </x:is>
      </x:c>
      <x:c r="L47" s="4" t="inlineStr">
        <x:is>
          <x:t xml:space="preserve">10-30</x:t>
        </x:is>
      </x:c>
      <x:c r="M47" s="4" t="inlineStr">
        <x:is>
          <x:t xml:space="preserve">yes</x:t>
        </x:is>
      </x:c>
      <x:c r="N47" s="4" t="inlineStr">
        <x:is>
          <x:t xml:space="preserve">possible via debris</x:t>
        </x:is>
      </x:c>
      <x:c r="O47" s="4" t="inlineStr">
        <x:is>
          <x:t xml:space="preserve">low to moderate</x:t>
        </x:is>
      </x:c>
      <x:c r="P47" s="4" t="inlineStr">
        <x:is>
          <x:t xml:space="preserve">no</x:t>
        </x:is>
      </x:c>
      <x:c r="Q47" s="4" t="inlineStr">
        <x:is>
          <x:t xml:space="preserve">clean and dry promptly; discard heavily colonized materials</x:t>
        </x:is>
      </x:c>
      <x:c r="R47" s="4" t="inlineStr">
        <x:is>
          <x:t xml:space="preserve">white_fuzzy, rapid_spread</x:t>
        </x:is>
      </x:c>
      <x:c r="S47" s="4" t="inlineStr">
        <x:is>
          <x:t xml:space="preserve">Zygomycete-like fast-growth group</x:t>
        </x:is>
      </x:c>
      <x:c r="T47" s="4" t="inlineStr">
        <x:is>
          <x:t xml:space="preserve">high</x:t>
        </x:is>
      </x:c>
      <x:c r="U47" s="4" t="inlineStr">
        <x:is>
          <x:t xml:space="preserve">allergenic + opportunistic infectious</x:t>
        </x:is>
      </x:c>
      <x:c r="V47" s="4" t="inlineStr">
        <x:is>
          <x:t xml:space="preserve">48-72+ hrs after sustained wetting</x:t>
        </x:is>
      </x:c>
      <x:c r="W47" s="4" t="inlineStr">
        <x:is>
          <x:t xml:space="preserve">air and/or surface depending on context</x:t>
        </x:is>
      </x:c>
      <x:c r="X47" s="4" t="inlineStr">
        <x:is>
          <x:t xml:space="preserve">no</x:t>
        </x:is>
      </x:c>
      <x:c r="Y47" s="4" t="inlineStr">
        <x:is>
          <x:t xml:space="preserve">white, gray, fuzzy, rapid spreading</x:t>
        </x:is>
      </x:c>
      <x:c r="Z47" s="4" t="inlineStr">
        <x:is>
          <x:t xml:space="preserve">porous materials preferred; non-porous growth usually on possible via debris</x:t>
        </x:is>
      </x:c>
    </x:row>
    <x:row r="48">
      <x:c r="A48" s="4" t="inlineStr">
        <x:is>
          <x:t xml:space="preserve">Mucor hiemalis</x:t>
        </x:is>
      </x:c>
      <x:c r="B48" s="4" t="inlineStr">
        <x:is>
          <x:t xml:space="preserve">Mucor</x:t>
        </x:is>
      </x:c>
      <x:c r="C48" s="4" t="inlineStr">
        <x:is>
          <x:t xml:space="preserve">Fast-growing indoor</x:t>
        </x:is>
      </x:c>
      <x:c r="D48" s="4" t="inlineStr">
        <x:is>
          <x:t xml:space="preserve">white</x:t>
        </x:is>
      </x:c>
      <x:c r="E48" s="4" t="inlineStr">
        <x:is>
          <x:t xml:space="preserve">gray</x:t>
        </x:is>
      </x:c>
      <x:c r="F48" s="4" t="inlineStr">
        <x:is>
          <x:t xml:space="preserve">fuzzy</x:t>
        </x:is>
      </x:c>
      <x:c r="G48" s="4" t="inlineStr">
        <x:is>
          <x:t xml:space="preserve">rapid spreading</x:t>
        </x:is>
      </x:c>
      <x:c r="H48" s="4" t="inlineStr">
        <x:is>
          <x:t xml:space="preserve">food residue, dust, wet drywall</x:t>
        </x:is>
      </x:c>
      <x:c r="I48" s="4" t="inlineStr">
        <x:is>
          <x:t xml:space="preserve">kitchens, basements</x:t>
        </x:is>
      </x:c>
      <x:c r="J48" s="4" t="inlineStr">
        <x:is>
          <x:t xml:space="preserve">high</x:t>
        </x:is>
      </x:c>
      <x:c r="K48" s="4" t="inlineStr">
        <x:is>
          <x:t xml:space="preserve">70+</x:t>
        </x:is>
      </x:c>
      <x:c r="L48" s="4" t="inlineStr">
        <x:is>
          <x:t xml:space="preserve">10-30</x:t>
        </x:is>
      </x:c>
      <x:c r="M48" s="4" t="inlineStr">
        <x:is>
          <x:t xml:space="preserve">yes</x:t>
        </x:is>
      </x:c>
      <x:c r="N48" s="4" t="inlineStr">
        <x:is>
          <x:t xml:space="preserve">possible via debris</x:t>
        </x:is>
      </x:c>
      <x:c r="O48" s="4" t="inlineStr">
        <x:is>
          <x:t xml:space="preserve">low to moderate</x:t>
        </x:is>
      </x:c>
      <x:c r="P48" s="4" t="inlineStr">
        <x:is>
          <x:t xml:space="preserve">no</x:t>
        </x:is>
      </x:c>
      <x:c r="Q48" s="4" t="inlineStr">
        <x:is>
          <x:t xml:space="preserve">clean and dry promptly; discard heavily colonized materials</x:t>
        </x:is>
      </x:c>
      <x:c r="R48" s="4" t="inlineStr">
        <x:is>
          <x:t xml:space="preserve">white_fuzzy, rapid_spread</x:t>
        </x:is>
      </x:c>
      <x:c r="S48" s="4" t="inlineStr">
        <x:is>
          <x:t xml:space="preserve">Zygomycete-like fast-growth group</x:t>
        </x:is>
      </x:c>
      <x:c r="T48" s="4" t="inlineStr">
        <x:is>
          <x:t xml:space="preserve">high</x:t>
        </x:is>
      </x:c>
      <x:c r="U48" s="4" t="inlineStr">
        <x:is>
          <x:t xml:space="preserve">allergenic + opportunistic infectious</x:t>
        </x:is>
      </x:c>
      <x:c r="V48" s="4" t="inlineStr">
        <x:is>
          <x:t xml:space="preserve">48-72+ hrs after sustained wetting</x:t>
        </x:is>
      </x:c>
      <x:c r="W48" s="4" t="inlineStr">
        <x:is>
          <x:t xml:space="preserve">air and/or surface depending on context</x:t>
        </x:is>
      </x:c>
      <x:c r="X48" s="4" t="inlineStr">
        <x:is>
          <x:t xml:space="preserve">no</x:t>
        </x:is>
      </x:c>
      <x:c r="Y48" s="4" t="inlineStr">
        <x:is>
          <x:t xml:space="preserve">white, gray, fuzzy, rapid spreading</x:t>
        </x:is>
      </x:c>
      <x:c r="Z48" s="4" t="inlineStr">
        <x:is>
          <x:t xml:space="preserve">porous materials preferred; non-porous growth usually on possible via debris</x:t>
        </x:is>
      </x:c>
    </x:row>
    <x:row r="49">
      <x:c r="A49" s="4" t="inlineStr">
        <x:is>
          <x:t xml:space="preserve">Rhizopus stolonifer</x:t>
        </x:is>
      </x:c>
      <x:c r="B49" s="4" t="inlineStr">
        <x:is>
          <x:t xml:space="preserve">Rhizopus</x:t>
        </x:is>
      </x:c>
      <x:c r="C49" s="4" t="inlineStr">
        <x:is>
          <x:t xml:space="preserve">Fast-growing indoor</x:t>
        </x:is>
      </x:c>
      <x:c r="D49" s="4" t="inlineStr">
        <x:is>
          <x:t xml:space="preserve">white</x:t>
        </x:is>
      </x:c>
      <x:c r="E49" s="4" t="inlineStr">
        <x:is>
          <x:t xml:space="preserve">black</x:t>
        </x:is>
      </x:c>
      <x:c r="F49" s="4" t="inlineStr">
        <x:is>
          <x:t xml:space="preserve">fuzzy</x:t>
        </x:is>
      </x:c>
      <x:c r="G49" s="4" t="inlineStr">
        <x:is>
          <x:t xml:space="preserve">rapid spreading</x:t>
        </x:is>
      </x:c>
      <x:c r="H49" s="4" t="inlineStr">
        <x:is>
          <x:t xml:space="preserve">food, dust, damp drywall</x:t>
        </x:is>
      </x:c>
      <x:c r="I49" s="4" t="inlineStr">
        <x:is>
          <x:t xml:space="preserve">kitchens, trash areas</x:t>
        </x:is>
      </x:c>
      <x:c r="J49" s="4" t="inlineStr">
        <x:is>
          <x:t xml:space="preserve">high</x:t>
        </x:is>
      </x:c>
      <x:c r="K49" s="4" t="inlineStr">
        <x:is>
          <x:t xml:space="preserve">70+</x:t>
        </x:is>
      </x:c>
      <x:c r="L49" s="4" t="inlineStr">
        <x:is>
          <x:t xml:space="preserve">15-32</x:t>
        </x:is>
      </x:c>
      <x:c r="M49" s="4" t="inlineStr">
        <x:is>
          <x:t xml:space="preserve">yes</x:t>
        </x:is>
      </x:c>
      <x:c r="N49" s="4" t="inlineStr">
        <x:is>
          <x:t xml:space="preserve">possible via debris</x:t>
        </x:is>
      </x:c>
      <x:c r="O49" s="4" t="inlineStr">
        <x:is>
          <x:t xml:space="preserve">low to moderate</x:t>
        </x:is>
      </x:c>
      <x:c r="P49" s="4" t="inlineStr">
        <x:is>
          <x:t xml:space="preserve">no</x:t>
        </x:is>
      </x:c>
      <x:c r="Q49" s="4" t="inlineStr">
        <x:is>
          <x:t xml:space="preserve">remove source debris and dry area</x:t>
        </x:is>
      </x:c>
      <x:c r="R49" s="4" t="inlineStr">
        <x:is>
          <x:t xml:space="preserve">black_heads, fuzzy_mat</x:t>
        </x:is>
      </x:c>
      <x:c r="S49" s="4" t="inlineStr">
        <x:is>
          <x:t xml:space="preserve">Zygomycete-like fast-growth group</x:t>
        </x:is>
      </x:c>
      <x:c r="T49" s="4" t="inlineStr">
        <x:is>
          <x:t xml:space="preserve">high</x:t>
        </x:is>
      </x:c>
      <x:c r="U49" s="4" t="inlineStr">
        <x:is>
          <x:t xml:space="preserve">allergenic + opportunistic infectious</x:t>
        </x:is>
      </x:c>
      <x:c r="V49" s="4" t="inlineStr">
        <x:is>
          <x:t xml:space="preserve">48-72+ hrs after sustained wetting</x:t>
        </x:is>
      </x:c>
      <x:c r="W49" s="4" t="inlineStr">
        <x:is>
          <x:t xml:space="preserve">air and/or surface depending on context</x:t>
        </x:is>
      </x:c>
      <x:c r="X49" s="4" t="inlineStr">
        <x:is>
          <x:t xml:space="preserve">no</x:t>
        </x:is>
      </x:c>
      <x:c r="Y49" s="4" t="inlineStr">
        <x:is>
          <x:t xml:space="preserve">white, black, fuzzy, rapid spreading</x:t>
        </x:is>
      </x:c>
      <x:c r="Z49" s="4" t="inlineStr">
        <x:is>
          <x:t xml:space="preserve">porous materials preferred; non-porous growth usually on possible via debris</x:t>
        </x:is>
      </x:c>
    </x:row>
    <x:row r="50">
      <x:c r="A50" s="4" t="inlineStr">
        <x:is>
          <x:t xml:space="preserve">Rhizopus arrhizus</x:t>
        </x:is>
      </x:c>
      <x:c r="B50" s="4" t="inlineStr">
        <x:is>
          <x:t xml:space="preserve">Rhizopus</x:t>
        </x:is>
      </x:c>
      <x:c r="C50" s="4" t="inlineStr">
        <x:is>
          <x:t xml:space="preserve">Fast-growing indoor</x:t>
        </x:is>
      </x:c>
      <x:c r="D50" s="4" t="inlineStr">
        <x:is>
          <x:t xml:space="preserve">white</x:t>
        </x:is>
      </x:c>
      <x:c r="E50" s="4" t="inlineStr">
        <x:is>
          <x:t xml:space="preserve">black</x:t>
        </x:is>
      </x:c>
      <x:c r="F50" s="4" t="inlineStr">
        <x:is>
          <x:t xml:space="preserve">fuzzy</x:t>
        </x:is>
      </x:c>
      <x:c r="G50" s="4" t="inlineStr">
        <x:is>
          <x:t xml:space="preserve">rapid spreading</x:t>
        </x:is>
      </x:c>
      <x:c r="H50" s="4" t="inlineStr">
        <x:is>
          <x:t xml:space="preserve">food, dust, damp drywall</x:t>
        </x:is>
      </x:c>
      <x:c r="I50" s="4" t="inlineStr">
        <x:is>
          <x:t xml:space="preserve">kitchens, trash areas</x:t>
        </x:is>
      </x:c>
      <x:c r="J50" s="4" t="inlineStr">
        <x:is>
          <x:t xml:space="preserve">high</x:t>
        </x:is>
      </x:c>
      <x:c r="K50" s="4" t="inlineStr">
        <x:is>
          <x:t xml:space="preserve">70+</x:t>
        </x:is>
      </x:c>
      <x:c r="L50" s="4" t="inlineStr">
        <x:is>
          <x:t xml:space="preserve">15-32</x:t>
        </x:is>
      </x:c>
      <x:c r="M50" s="4" t="inlineStr">
        <x:is>
          <x:t xml:space="preserve">yes</x:t>
        </x:is>
      </x:c>
      <x:c r="N50" s="4" t="inlineStr">
        <x:is>
          <x:t xml:space="preserve">possible via debris</x:t>
        </x:is>
      </x:c>
      <x:c r="O50" s="4" t="inlineStr">
        <x:is>
          <x:t xml:space="preserve">low to moderate</x:t>
        </x:is>
      </x:c>
      <x:c r="P50" s="4" t="inlineStr">
        <x:is>
          <x:t xml:space="preserve">no</x:t>
        </x:is>
      </x:c>
      <x:c r="Q50" s="4" t="inlineStr">
        <x:is>
          <x:t xml:space="preserve">remove source debris and dry area</x:t>
        </x:is>
      </x:c>
      <x:c r="R50" s="4" t="inlineStr">
        <x:is>
          <x:t xml:space="preserve">black_heads, fuzzy_mat</x:t>
        </x:is>
      </x:c>
      <x:c r="S50" s="4" t="inlineStr">
        <x:is>
          <x:t xml:space="preserve">Zygomycete-like fast-growth group</x:t>
        </x:is>
      </x:c>
      <x:c r="T50" s="4" t="inlineStr">
        <x:is>
          <x:t xml:space="preserve">high</x:t>
        </x:is>
      </x:c>
      <x:c r="U50" s="4" t="inlineStr">
        <x:is>
          <x:t xml:space="preserve">allergenic + opportunistic infectious</x:t>
        </x:is>
      </x:c>
      <x:c r="V50" s="4" t="inlineStr">
        <x:is>
          <x:t xml:space="preserve">48-72+ hrs after sustained wetting</x:t>
        </x:is>
      </x:c>
      <x:c r="W50" s="4" t="inlineStr">
        <x:is>
          <x:t xml:space="preserve">air and/or surface depending on context</x:t>
        </x:is>
      </x:c>
      <x:c r="X50" s="4" t="inlineStr">
        <x:is>
          <x:t xml:space="preserve">no</x:t>
        </x:is>
      </x:c>
      <x:c r="Y50" s="4" t="inlineStr">
        <x:is>
          <x:t xml:space="preserve">white, black, fuzzy, rapid spreading</x:t>
        </x:is>
      </x:c>
      <x:c r="Z50" s="4" t="inlineStr">
        <x:is>
          <x:t xml:space="preserve">porous materials preferred; non-porous growth usually on possible via debris</x:t>
        </x:is>
      </x:c>
    </x:row>
    <x:row r="51">
      <x:c r="A51" s="4" t="inlineStr">
        <x:is>
          <x:t xml:space="preserve">Epicoccum nigrum</x:t>
        </x:is>
      </x:c>
      <x:c r="B51" s="4" t="inlineStr">
        <x:is>
          <x:t xml:space="preserve">Epicoccum</x:t>
        </x:is>
      </x:c>
      <x:c r="C51" s="4" t="inlineStr">
        <x:is>
          <x:t xml:space="preserve">Allergenic</x:t>
        </x:is>
      </x:c>
      <x:c r="D51" s="4" t="inlineStr">
        <x:is>
          <x:t xml:space="preserve">orange</x:t>
        </x:is>
      </x:c>
      <x:c r="E51" s="4" t="inlineStr">
        <x:is>
          <x:t xml:space="preserve">brown</x:t>
        </x:is>
      </x:c>
      <x:c r="F51" s="4" t="inlineStr">
        <x:is>
          <x:t xml:space="preserve">powdery</x:t>
        </x:is>
      </x:c>
      <x:c r="G51" s="4" t="inlineStr">
        <x:is>
          <x:t xml:space="preserve">spotty</x:t>
        </x:is>
      </x:c>
      <x:c r="H51" s="4" t="inlineStr">
        <x:is>
          <x:t xml:space="preserve">painted surfaces, textiles</x:t>
        </x:is>
      </x:c>
      <x:c r="I51" s="4" t="inlineStr">
        <x:is>
          <x:t xml:space="preserve">window frames, damp rooms</x:t>
        </x:is>
      </x:c>
      <x:c r="J51" s="4" t="inlineStr">
        <x:is>
          <x:t xml:space="preserve">moderate</x:t>
        </x:is>
      </x:c>
      <x:c r="K51" s="4" t="inlineStr">
        <x:is>
          <x:t xml:space="preserve">65+</x:t>
        </x:is>
      </x:c>
      <x:c r="L51" s="4" t="inlineStr">
        <x:is>
          <x:t xml:space="preserve">15-30</x:t>
        </x:is>
      </x:c>
      <x:c r="M51" s="4" t="inlineStr">
        <x:is>
          <x:t xml:space="preserve">yes</x:t>
        </x:is>
      </x:c>
      <x:c r="N51" s="4" t="inlineStr">
        <x:is>
          <x:t xml:space="preserve">possible</x:t>
        </x:is>
      </x:c>
      <x:c r="O51" s="4" t="inlineStr">
        <x:is>
          <x:t xml:space="preserve">low to moderate</x:t>
        </x:is>
      </x:c>
      <x:c r="P51" s="4" t="inlineStr">
        <x:is>
          <x:t xml:space="preserve">possible</x:t>
        </x:is>
      </x:c>
      <x:c r="Q51" s="4" t="inlineStr">
        <x:is>
          <x:t xml:space="preserve">clean lightly affected surfaces and reduce humidity</x:t>
        </x:is>
      </x:c>
      <x:c r="R51" s="4" t="inlineStr">
        <x:is>
          <x:t xml:space="preserve">orange_spots, small_round_colonies</x:t>
        </x:is>
      </x:c>
      <x:c r="S51" s="4" t="inlineStr">
        <x:is>
          <x:t xml:space="preserve">Epicoccum visual group</x:t>
        </x:is>
      </x:c>
      <x:c r="T51" s="4" t="inlineStr">
        <x:is>
          <x:t xml:space="preserve">moderate</x:t>
        </x:is>
      </x:c>
      <x:c r="U51" s="4" t="inlineStr">
        <x:is>
          <x:t xml:space="preserve">allergenic</x:t>
        </x:is>
      </x:c>
      <x:c r="V51" s="4" t="inlineStr">
        <x:is>
          <x:t xml:space="preserve">24-48 hrs with persistent humidity</x:t>
        </x:is>
      </x:c>
      <x:c r="W51" s="4" t="inlineStr">
        <x:is>
          <x:t xml:space="preserve">air and/or surface depending on context</x:t>
        </x:is>
      </x:c>
      <x:c r="X51" s="4" t="inlineStr">
        <x:is>
          <x:t xml:space="preserve">no</x:t>
        </x:is>
      </x:c>
      <x:c r="Y51" s="4" t="inlineStr">
        <x:is>
          <x:t xml:space="preserve">orange, brown, powdery, spotty</x:t>
        </x:is>
      </x:c>
      <x:c r="Z51" s="4" t="inlineStr">
        <x:is>
          <x:t xml:space="preserve">porous materials preferred; non-porous growth usually on possible</x:t>
        </x:is>
      </x:c>
    </x:row>
    <x:row r="52">
      <x:c r="A52" s="4" t="inlineStr">
        <x:is>
          <x:t xml:space="preserve">Epicoccum sorghinum</x:t>
        </x:is>
      </x:c>
      <x:c r="B52" s="4" t="inlineStr">
        <x:is>
          <x:t xml:space="preserve">Epicoccum</x:t>
        </x:is>
      </x:c>
      <x:c r="C52" s="4" t="inlineStr">
        <x:is>
          <x:t xml:space="preserve">Allergenic</x:t>
        </x:is>
      </x:c>
      <x:c r="D52" s="4" t="inlineStr">
        <x:is>
          <x:t xml:space="preserve">orange</x:t>
        </x:is>
      </x:c>
      <x:c r="E52" s="4" t="inlineStr">
        <x:is>
          <x:t xml:space="preserve">brown</x:t>
        </x:is>
      </x:c>
      <x:c r="F52" s="4" t="inlineStr">
        <x:is>
          <x:t xml:space="preserve">powdery</x:t>
        </x:is>
      </x:c>
      <x:c r="G52" s="4" t="inlineStr">
        <x:is>
          <x:t xml:space="preserve">spotty</x:t>
        </x:is>
      </x:c>
      <x:c r="H52" s="4" t="inlineStr">
        <x:is>
          <x:t xml:space="preserve">painted surfaces, textiles</x:t>
        </x:is>
      </x:c>
      <x:c r="I52" s="4" t="inlineStr">
        <x:is>
          <x:t xml:space="preserve">window frames, damp rooms</x:t>
        </x:is>
      </x:c>
      <x:c r="J52" s="4" t="inlineStr">
        <x:is>
          <x:t xml:space="preserve">moderate</x:t>
        </x:is>
      </x:c>
      <x:c r="K52" s="4" t="inlineStr">
        <x:is>
          <x:t xml:space="preserve">65+</x:t>
        </x:is>
      </x:c>
      <x:c r="L52" s="4" t="inlineStr">
        <x:is>
          <x:t xml:space="preserve">15-30</x:t>
        </x:is>
      </x:c>
      <x:c r="M52" s="4" t="inlineStr">
        <x:is>
          <x:t xml:space="preserve">yes</x:t>
        </x:is>
      </x:c>
      <x:c r="N52" s="4" t="inlineStr">
        <x:is>
          <x:t xml:space="preserve">possible</x:t>
        </x:is>
      </x:c>
      <x:c r="O52" s="4" t="inlineStr">
        <x:is>
          <x:t xml:space="preserve">low to moderate</x:t>
        </x:is>
      </x:c>
      <x:c r="P52" s="4" t="inlineStr">
        <x:is>
          <x:t xml:space="preserve">possible</x:t>
        </x:is>
      </x:c>
      <x:c r="Q52" s="4" t="inlineStr">
        <x:is>
          <x:t xml:space="preserve">clean lightly affected surfaces and reduce humidity</x:t>
        </x:is>
      </x:c>
      <x:c r="R52" s="4" t="inlineStr">
        <x:is>
          <x:t xml:space="preserve">orange_spots, small_round_colonies</x:t>
        </x:is>
      </x:c>
      <x:c r="S52" s="4" t="inlineStr">
        <x:is>
          <x:t xml:space="preserve">Epicoccum visual group</x:t>
        </x:is>
      </x:c>
      <x:c r="T52" s="4" t="inlineStr">
        <x:is>
          <x:t xml:space="preserve">moderate</x:t>
        </x:is>
      </x:c>
      <x:c r="U52" s="4" t="inlineStr">
        <x:is>
          <x:t xml:space="preserve">allergenic</x:t>
        </x:is>
      </x:c>
      <x:c r="V52" s="4" t="inlineStr">
        <x:is>
          <x:t xml:space="preserve">24-48 hrs with persistent humidity</x:t>
        </x:is>
      </x:c>
      <x:c r="W52" s="4" t="inlineStr">
        <x:is>
          <x:t xml:space="preserve">air and/or surface depending on context</x:t>
        </x:is>
      </x:c>
      <x:c r="X52" s="4" t="inlineStr">
        <x:is>
          <x:t xml:space="preserve">no</x:t>
        </x:is>
      </x:c>
      <x:c r="Y52" s="4" t="inlineStr">
        <x:is>
          <x:t xml:space="preserve">orange, brown, powdery, spotty</x:t>
        </x:is>
      </x:c>
      <x:c r="Z52" s="4" t="inlineStr">
        <x:is>
          <x:t xml:space="preserve">porous materials preferred; non-porous growth usually on possible</x:t>
        </x:is>
      </x:c>
    </x:row>
    <x:row r="53">
      <x:c r="A53" s="4" t="inlineStr">
        <x:is>
          <x:t xml:space="preserve">Curvularia lunata</x:t>
        </x:is>
      </x:c>
      <x:c r="B53" s="4" t="inlineStr">
        <x:is>
          <x:t xml:space="preserve">Curvularia</x:t>
        </x:is>
      </x:c>
      <x:c r="C53" s="4" t="inlineStr">
        <x:is>
          <x:t xml:space="preserve">Allergenic</x:t>
        </x:is>
      </x:c>
      <x:c r="D53" s="4" t="inlineStr">
        <x:is>
          <x:t xml:space="preserve">dark brown</x:t>
        </x:is>
      </x:c>
      <x:c r="E53" s="4" t="inlineStr">
        <x:is>
          <x:t xml:space="preserve">black</x:t>
        </x:is>
      </x:c>
      <x:c r="F53" s="4" t="inlineStr">
        <x:is>
          <x:t xml:space="preserve">velvety</x:t>
        </x:is>
      </x:c>
      <x:c r="G53" s="4" t="inlineStr">
        <x:is>
          <x:t xml:space="preserve">irregular</x:t>
        </x:is>
      </x:c>
      <x:c r="H53" s="4" t="inlineStr">
        <x:is>
          <x:t xml:space="preserve">textiles, drywall, dust</x:t>
        </x:is>
      </x:c>
      <x:c r="I53" s="4" t="inlineStr">
        <x:is>
          <x:t xml:space="preserve">HVAC, damp rooms</x:t>
        </x:is>
      </x:c>
      <x:c r="J53" s="4" t="inlineStr">
        <x:is>
          <x:t xml:space="preserve">moderate</x:t>
        </x:is>
      </x:c>
      <x:c r="K53" s="4" t="inlineStr">
        <x:is>
          <x:t xml:space="preserve">65+</x:t>
        </x:is>
      </x:c>
      <x:c r="L53" s="4" t="inlineStr">
        <x:is>
          <x:t xml:space="preserve">18-32</x:t>
        </x:is>
      </x:c>
      <x:c r="M53" s="4" t="inlineStr">
        <x:is>
          <x:t xml:space="preserve">yes</x:t>
        </x:is>
      </x:c>
      <x:c r="N53" s="4" t="inlineStr">
        <x:is>
          <x:t xml:space="preserve">possible via dust</x:t>
        </x:is>
      </x:c>
      <x:c r="O53" s="4" t="inlineStr">
        <x:is>
          <x:t xml:space="preserve">moderate</x:t>
        </x:is>
      </x:c>
      <x:c r="P53" s="4" t="inlineStr">
        <x:is>
          <x:t xml:space="preserve">possible</x:t>
        </x:is>
      </x:c>
      <x:c r="Q53" s="4" t="inlineStr">
        <x:is>
          <x:t xml:space="preserve">clean and dry; HEPA dust removal</x:t>
        </x:is>
      </x:c>
      <x:c r="R53" s="4" t="inlineStr">
        <x:is>
          <x:t xml:space="preserve">dark_irregular, velvet_texture</x:t>
        </x:is>
      </x:c>
      <x:c r="S53" s="4" t="inlineStr">
        <x:is>
          <x:t xml:space="preserve">Curvularia visual group</x:t>
        </x:is>
      </x:c>
      <x:c r="T53" s="4" t="inlineStr">
        <x:is>
          <x:t xml:space="preserve">moderate</x:t>
        </x:is>
      </x:c>
      <x:c r="U53" s="4" t="inlineStr">
        <x:is>
          <x:t xml:space="preserve">allergenic + opportunistic infectious</x:t>
        </x:is>
      </x:c>
      <x:c r="V53" s="4" t="inlineStr">
        <x:is>
          <x:t xml:space="preserve">24-48 hrs with persistent humidity</x:t>
        </x:is>
      </x:c>
      <x:c r="W53" s="4" t="inlineStr">
        <x:is>
          <x:t xml:space="preserve">air and/or surface depending on context</x:t>
        </x:is>
      </x:c>
      <x:c r="X53" s="4" t="inlineStr">
        <x:is>
          <x:t xml:space="preserve">no</x:t>
        </x:is>
      </x:c>
      <x:c r="Y53" s="4" t="inlineStr">
        <x:is>
          <x:t xml:space="preserve">dark brown, black, velvety, irregular</x:t>
        </x:is>
      </x:c>
      <x:c r="Z53" s="4" t="inlineStr">
        <x:is>
          <x:t xml:space="preserve">porous materials preferred; non-porous growth usually on possible via dust</x:t>
        </x:is>
      </x:c>
    </x:row>
    <x:row r="54">
      <x:c r="A54" s="4" t="inlineStr">
        <x:is>
          <x:t xml:space="preserve">Curvularia geniculata</x:t>
        </x:is>
      </x:c>
      <x:c r="B54" s="4" t="inlineStr">
        <x:is>
          <x:t xml:space="preserve">Curvularia</x:t>
        </x:is>
      </x:c>
      <x:c r="C54" s="4" t="inlineStr">
        <x:is>
          <x:t xml:space="preserve">Allergenic</x:t>
        </x:is>
      </x:c>
      <x:c r="D54" s="4" t="inlineStr">
        <x:is>
          <x:t xml:space="preserve">dark brown</x:t>
        </x:is>
      </x:c>
      <x:c r="E54" s="4" t="inlineStr">
        <x:is>
          <x:t xml:space="preserve">black</x:t>
        </x:is>
      </x:c>
      <x:c r="F54" s="4" t="inlineStr">
        <x:is>
          <x:t xml:space="preserve">velvety</x:t>
        </x:is>
      </x:c>
      <x:c r="G54" s="4" t="inlineStr">
        <x:is>
          <x:t xml:space="preserve">irregular</x:t>
        </x:is>
      </x:c>
      <x:c r="H54" s="4" t="inlineStr">
        <x:is>
          <x:t xml:space="preserve">textiles, drywall, dust</x:t>
        </x:is>
      </x:c>
      <x:c r="I54" s="4" t="inlineStr">
        <x:is>
          <x:t xml:space="preserve">HVAC, damp rooms</x:t>
        </x:is>
      </x:c>
      <x:c r="J54" s="4" t="inlineStr">
        <x:is>
          <x:t xml:space="preserve">moderate</x:t>
        </x:is>
      </x:c>
      <x:c r="K54" s="4" t="inlineStr">
        <x:is>
          <x:t xml:space="preserve">65+</x:t>
        </x:is>
      </x:c>
      <x:c r="L54" s="4" t="inlineStr">
        <x:is>
          <x:t xml:space="preserve">18-32</x:t>
        </x:is>
      </x:c>
      <x:c r="M54" s="4" t="inlineStr">
        <x:is>
          <x:t xml:space="preserve">yes</x:t>
        </x:is>
      </x:c>
      <x:c r="N54" s="4" t="inlineStr">
        <x:is>
          <x:t xml:space="preserve">possible via dust</x:t>
        </x:is>
      </x:c>
      <x:c r="O54" s="4" t="inlineStr">
        <x:is>
          <x:t xml:space="preserve">moderate</x:t>
        </x:is>
      </x:c>
      <x:c r="P54" s="4" t="inlineStr">
        <x:is>
          <x:t xml:space="preserve">possible</x:t>
        </x:is>
      </x:c>
      <x:c r="Q54" s="4" t="inlineStr">
        <x:is>
          <x:t xml:space="preserve">clean and dry; HEPA dust removal</x:t>
        </x:is>
      </x:c>
      <x:c r="R54" s="4" t="inlineStr">
        <x:is>
          <x:t xml:space="preserve">dark_irregular, velvet_texture</x:t>
        </x:is>
      </x:c>
      <x:c r="S54" s="4" t="inlineStr">
        <x:is>
          <x:t xml:space="preserve">Curvularia visual group</x:t>
        </x:is>
      </x:c>
      <x:c r="T54" s="4" t="inlineStr">
        <x:is>
          <x:t xml:space="preserve">moderate</x:t>
        </x:is>
      </x:c>
      <x:c r="U54" s="4" t="inlineStr">
        <x:is>
          <x:t xml:space="preserve">allergenic + opportunistic infectious</x:t>
        </x:is>
      </x:c>
      <x:c r="V54" s="4" t="inlineStr">
        <x:is>
          <x:t xml:space="preserve">24-48 hrs with persistent humidity</x:t>
        </x:is>
      </x:c>
      <x:c r="W54" s="4" t="inlineStr">
        <x:is>
          <x:t xml:space="preserve">air and/or surface depending on context</x:t>
        </x:is>
      </x:c>
      <x:c r="X54" s="4" t="inlineStr">
        <x:is>
          <x:t xml:space="preserve">no</x:t>
        </x:is>
      </x:c>
      <x:c r="Y54" s="4" t="inlineStr">
        <x:is>
          <x:t xml:space="preserve">dark brown, black, velvety, irregular</x:t>
        </x:is>
      </x:c>
      <x:c r="Z54" s="4" t="inlineStr">
        <x:is>
          <x:t xml:space="preserve">porous materials preferred; non-porous growth usually on possible via dust</x:t>
        </x:is>
      </x:c>
    </x:row>
    <x:row r="55">
      <x:c r="A55" s="4" t="inlineStr">
        <x:is>
          <x:t xml:space="preserve">Nigrospora oryzae</x:t>
        </x:is>
      </x:c>
      <x:c r="B55" s="4" t="inlineStr">
        <x:is>
          <x:t xml:space="preserve">Nigrospora</x:t>
        </x:is>
      </x:c>
      <x:c r="C55" s="4" t="inlineStr">
        <x:is>
          <x:t xml:space="preserve">Common indoor</x:t>
        </x:is>
      </x:c>
      <x:c r="D55" s="4" t="inlineStr">
        <x:is>
          <x:t xml:space="preserve">black</x:t>
        </x:is>
      </x:c>
      <x:c r="E55" s="4" t="inlineStr">
        <x:is>
          <x:t xml:space="preserve">gray</x:t>
        </x:is>
      </x:c>
      <x:c r="F55" s="4" t="inlineStr">
        <x:is>
          <x:t xml:space="preserve">powdery</x:t>
        </x:is>
      </x:c>
      <x:c r="G55" s="4" t="inlineStr">
        <x:is>
          <x:t xml:space="preserve">spotty</x:t>
        </x:is>
      </x:c>
      <x:c r="H55" s="4" t="inlineStr">
        <x:is>
          <x:t xml:space="preserve">plant debris, drywall</x:t>
        </x:is>
      </x:c>
      <x:c r="I55" s="4" t="inlineStr">
        <x:is>
          <x:t xml:space="preserve">window areas, storage</x:t>
        </x:is>
      </x:c>
      <x:c r="J55" s="4" t="inlineStr">
        <x:is>
          <x:t xml:space="preserve">moderate</x:t>
        </x:is>
      </x:c>
      <x:c r="K55" s="4" t="inlineStr">
        <x:is>
          <x:t xml:space="preserve">60+</x:t>
        </x:is>
      </x:c>
      <x:c r="L55" s="4" t="inlineStr">
        <x:is>
          <x:t xml:space="preserve">18-30</x:t>
        </x:is>
      </x:c>
      <x:c r="M55" s="4" t="inlineStr">
        <x:is>
          <x:t xml:space="preserve">yes</x:t>
        </x:is>
      </x:c>
      <x:c r="N55" s="4" t="inlineStr">
        <x:is>
          <x:t xml:space="preserve">possible via dust</x:t>
        </x:is>
      </x:c>
      <x:c r="O55" s="4" t="inlineStr">
        <x:is>
          <x:t xml:space="preserve">low</x:t>
        </x:is>
      </x:c>
      <x:c r="P55" s="4" t="inlineStr">
        <x:is>
          <x:t xml:space="preserve">rare</x:t>
        </x:is>
      </x:c>
      <x:c r="Q55" s="4" t="inlineStr">
        <x:is>
          <x:t xml:space="preserve">remove debris and clean surfaces</x:t>
        </x:is>
      </x:c>
      <x:c r="R55" s="4" t="inlineStr">
        <x:is>
          <x:t xml:space="preserve">black_spots, dust_like</x:t>
        </x:is>
      </x:c>
      <x:c r="S55" s="4" t="inlineStr">
        <x:is>
          <x:t xml:space="preserve">Nigrospora visual group</x:t>
        </x:is>
      </x:c>
      <x:c r="T55" s="4" t="inlineStr">
        <x:is>
          <x:t xml:space="preserve">moderate</x:t>
        </x:is>
      </x:c>
      <x:c r="U55" s="4" t="inlineStr">
        <x:is>
          <x:t xml:space="preserve">common indoor / allergen potential</x:t>
        </x:is>
      </x:c>
      <x:c r="V55" s="4" t="inlineStr">
        <x:is>
          <x:t xml:space="preserve">24-48 hrs with persistent humidity</x:t>
        </x:is>
      </x:c>
      <x:c r="W55" s="4" t="inlineStr">
        <x:is>
          <x:t xml:space="preserve">air and/or surface depending on context</x:t>
        </x:is>
      </x:c>
      <x:c r="X55" s="4" t="inlineStr">
        <x:is>
          <x:t xml:space="preserve">no</x:t>
        </x:is>
      </x:c>
      <x:c r="Y55" s="4" t="inlineStr">
        <x:is>
          <x:t xml:space="preserve">black, gray, powdery, spotty</x:t>
        </x:is>
      </x:c>
      <x:c r="Z55" s="4" t="inlineStr">
        <x:is>
          <x:t xml:space="preserve">porous materials preferred; non-porous growth usually on possible via dust</x:t>
        </x:is>
      </x:c>
    </x:row>
    <x:row r="56">
      <x:c r="A56" s="4" t="inlineStr">
        <x:is>
          <x:t xml:space="preserve">Nigrospora sphaerica</x:t>
        </x:is>
      </x:c>
      <x:c r="B56" s="4" t="inlineStr">
        <x:is>
          <x:t xml:space="preserve">Nigrospora</x:t>
        </x:is>
      </x:c>
      <x:c r="C56" s="4" t="inlineStr">
        <x:is>
          <x:t xml:space="preserve">Common indoor</x:t>
        </x:is>
      </x:c>
      <x:c r="D56" s="4" t="inlineStr">
        <x:is>
          <x:t xml:space="preserve">black</x:t>
        </x:is>
      </x:c>
      <x:c r="E56" s="4" t="inlineStr">
        <x:is>
          <x:t xml:space="preserve">gray</x:t>
        </x:is>
      </x:c>
      <x:c r="F56" s="4" t="inlineStr">
        <x:is>
          <x:t xml:space="preserve">powdery</x:t>
        </x:is>
      </x:c>
      <x:c r="G56" s="4" t="inlineStr">
        <x:is>
          <x:t xml:space="preserve">spotty</x:t>
        </x:is>
      </x:c>
      <x:c r="H56" s="4" t="inlineStr">
        <x:is>
          <x:t xml:space="preserve">plant debris, drywall</x:t>
        </x:is>
      </x:c>
      <x:c r="I56" s="4" t="inlineStr">
        <x:is>
          <x:t xml:space="preserve">window areas, storage</x:t>
        </x:is>
      </x:c>
      <x:c r="J56" s="4" t="inlineStr">
        <x:is>
          <x:t xml:space="preserve">moderate</x:t>
        </x:is>
      </x:c>
      <x:c r="K56" s="4" t="inlineStr">
        <x:is>
          <x:t xml:space="preserve">60+</x:t>
        </x:is>
      </x:c>
      <x:c r="L56" s="4" t="inlineStr">
        <x:is>
          <x:t xml:space="preserve">18-30</x:t>
        </x:is>
      </x:c>
      <x:c r="M56" s="4" t="inlineStr">
        <x:is>
          <x:t xml:space="preserve">yes</x:t>
        </x:is>
      </x:c>
      <x:c r="N56" s="4" t="inlineStr">
        <x:is>
          <x:t xml:space="preserve">possible via dust</x:t>
        </x:is>
      </x:c>
      <x:c r="O56" s="4" t="inlineStr">
        <x:is>
          <x:t xml:space="preserve">low</x:t>
        </x:is>
      </x:c>
      <x:c r="P56" s="4" t="inlineStr">
        <x:is>
          <x:t xml:space="preserve">rare</x:t>
        </x:is>
      </x:c>
      <x:c r="Q56" s="4" t="inlineStr">
        <x:is>
          <x:t xml:space="preserve">remove debris and clean surfaces</x:t>
        </x:is>
      </x:c>
      <x:c r="R56" s="4" t="inlineStr">
        <x:is>
          <x:t xml:space="preserve">black_spots, dust_like</x:t>
        </x:is>
      </x:c>
      <x:c r="S56" s="4" t="inlineStr">
        <x:is>
          <x:t xml:space="preserve">Nigrospora visual group</x:t>
        </x:is>
      </x:c>
      <x:c r="T56" s="4" t="inlineStr">
        <x:is>
          <x:t xml:space="preserve">moderate</x:t>
        </x:is>
      </x:c>
      <x:c r="U56" s="4" t="inlineStr">
        <x:is>
          <x:t xml:space="preserve">common indoor / allergen potential</x:t>
        </x:is>
      </x:c>
      <x:c r="V56" s="4" t="inlineStr">
        <x:is>
          <x:t xml:space="preserve">24-48 hrs with persistent humidity</x:t>
        </x:is>
      </x:c>
      <x:c r="W56" s="4" t="inlineStr">
        <x:is>
          <x:t xml:space="preserve">air and/or surface depending on context</x:t>
        </x:is>
      </x:c>
      <x:c r="X56" s="4" t="inlineStr">
        <x:is>
          <x:t xml:space="preserve">no</x:t>
        </x:is>
      </x:c>
      <x:c r="Y56" s="4" t="inlineStr">
        <x:is>
          <x:t xml:space="preserve">black, gray, powdery, spotty</x:t>
        </x:is>
      </x:c>
      <x:c r="Z56" s="4" t="inlineStr">
        <x:is>
          <x:t xml:space="preserve">porous materials preferred; non-porous growth usually on possible via dust</x:t>
        </x:is>
      </x:c>
    </x:row>
    <x:row r="57">
      <x:c r="A57" s="4" t="inlineStr">
        <x:is>
          <x:t xml:space="preserve">Phoma herbarum</x:t>
        </x:is>
      </x:c>
      <x:c r="B57" s="4" t="inlineStr">
        <x:is>
          <x:t xml:space="preserve">Phoma</x:t>
        </x:is>
      </x:c>
      <x:c r="C57" s="4" t="inlineStr">
        <x:is>
          <x:t xml:space="preserve">Water damage mold</x:t>
        </x:is>
      </x:c>
      <x:c r="D57" s="4" t="inlineStr">
        <x:is>
          <x:t xml:space="preserve">olive brown</x:t>
        </x:is>
      </x:c>
      <x:c r="E57" s="4" t="inlineStr">
        <x:is>
          <x:t xml:space="preserve">black</x:t>
        </x:is>
      </x:c>
      <x:c r="F57" s="4" t="inlineStr">
        <x:is>
          <x:t xml:space="preserve">powdery</x:t>
        </x:is>
      </x:c>
      <x:c r="G57" s="4" t="inlineStr">
        <x:is>
          <x:t xml:space="preserve">patchy</x:t>
        </x:is>
      </x:c>
      <x:c r="H57" s="4" t="inlineStr">
        <x:is>
          <x:t xml:space="preserve">paint, paper, drywall</x:t>
        </x:is>
      </x:c>
      <x:c r="I57" s="4" t="inlineStr">
        <x:is>
          <x:t xml:space="preserve">wet walls, window frames</x:t>
        </x:is>
      </x:c>
      <x:c r="J57" s="4" t="inlineStr">
        <x:is>
          <x:t xml:space="preserve">moderate to high</x:t>
        </x:is>
      </x:c>
      <x:c r="K57" s="4" t="inlineStr">
        <x:is>
          <x:t xml:space="preserve">65+</x:t>
        </x:is>
      </x:c>
      <x:c r="L57" s="4" t="inlineStr">
        <x:is>
          <x:t xml:space="preserve">10-30</x:t>
        </x:is>
      </x:c>
      <x:c r="M57" s="4" t="inlineStr">
        <x:is>
          <x:t xml:space="preserve">yes</x:t>
        </x:is>
      </x:c>
      <x:c r="N57" s="4" t="inlineStr">
        <x:is>
          <x:t xml:space="preserve">possible on painted surfaces</x:t>
        </x:is>
      </x:c>
      <x:c r="O57" s="4" t="inlineStr">
        <x:is>
          <x:t xml:space="preserve">moderate</x:t>
        </x:is>
      </x:c>
      <x:c r="P57" s="4" t="inlineStr">
        <x:is>
          <x:t xml:space="preserve">possible</x:t>
        </x:is>
      </x:c>
      <x:c r="Q57" s="4" t="inlineStr">
        <x:is>
          <x:t xml:space="preserve">clean light growth; remove damaged porous materials if persistent</x:t>
        </x:is>
      </x:c>
      <x:c r="R57" s="4" t="inlineStr">
        <x:is>
          <x:t xml:space="preserve">olive_black_patch, moisture_halo</x:t>
        </x:is>
      </x:c>
      <x:c r="S57" s="4" t="inlineStr">
        <x:is>
          <x:t xml:space="preserve">Phoma visual group</x:t>
        </x:is>
      </x:c>
      <x:c r="T57" s="4" t="inlineStr">
        <x:is>
          <x:t xml:space="preserve">moderate</x:t>
        </x:is>
      </x:c>
      <x:c r="U57" s="4" t="inlineStr">
        <x:is>
          <x:t xml:space="preserve">common indoor / allergen potential</x:t>
        </x:is>
      </x:c>
      <x:c r="V57" s="4" t="inlineStr">
        <x:is>
          <x:t xml:space="preserve">48-72+ hrs after sustained wetting</x:t>
        </x:is>
      </x:c>
      <x:c r="W57" s="4" t="inlineStr">
        <x:is>
          <x:t xml:space="preserve">surface/bulk + air comparison</x:t>
        </x:is>
      </x:c>
      <x:c r="X57" s="4" t="inlineStr">
        <x:is>
          <x:t xml:space="preserve">no</x:t>
        </x:is>
      </x:c>
      <x:c r="Y57" s="4" t="inlineStr">
        <x:is>
          <x:t xml:space="preserve">olive brown, black, powdery, patchy</x:t>
        </x:is>
      </x:c>
      <x:c r="Z57" s="4" t="inlineStr">
        <x:is>
          <x:t xml:space="preserve">porous materials preferred; non-porous growth usually on possible on painted surfaces</x:t>
        </x:is>
      </x:c>
    </x:row>
    <x:row r="58">
      <x:c r="A58" s="4" t="inlineStr">
        <x:is>
          <x:t xml:space="preserve">Phoma glomerata</x:t>
        </x:is>
      </x:c>
      <x:c r="B58" s="4" t="inlineStr">
        <x:is>
          <x:t xml:space="preserve">Phoma</x:t>
        </x:is>
      </x:c>
      <x:c r="C58" s="4" t="inlineStr">
        <x:is>
          <x:t xml:space="preserve">Water damage mold</x:t>
        </x:is>
      </x:c>
      <x:c r="D58" s="4" t="inlineStr">
        <x:is>
          <x:t xml:space="preserve">olive brown</x:t>
        </x:is>
      </x:c>
      <x:c r="E58" s="4" t="inlineStr">
        <x:is>
          <x:t xml:space="preserve">black</x:t>
        </x:is>
      </x:c>
      <x:c r="F58" s="4" t="inlineStr">
        <x:is>
          <x:t xml:space="preserve">powdery</x:t>
        </x:is>
      </x:c>
      <x:c r="G58" s="4" t="inlineStr">
        <x:is>
          <x:t xml:space="preserve">patchy</x:t>
        </x:is>
      </x:c>
      <x:c r="H58" s="4" t="inlineStr">
        <x:is>
          <x:t xml:space="preserve">paint, paper, drywall</x:t>
        </x:is>
      </x:c>
      <x:c r="I58" s="4" t="inlineStr">
        <x:is>
          <x:t xml:space="preserve">wet walls, window frames</x:t>
        </x:is>
      </x:c>
      <x:c r="J58" s="4" t="inlineStr">
        <x:is>
          <x:t xml:space="preserve">moderate to high</x:t>
        </x:is>
      </x:c>
      <x:c r="K58" s="4" t="inlineStr">
        <x:is>
          <x:t xml:space="preserve">65+</x:t>
        </x:is>
      </x:c>
      <x:c r="L58" s="4" t="inlineStr">
        <x:is>
          <x:t xml:space="preserve">10-30</x:t>
        </x:is>
      </x:c>
      <x:c r="M58" s="4" t="inlineStr">
        <x:is>
          <x:t xml:space="preserve">yes</x:t>
        </x:is>
      </x:c>
      <x:c r="N58" s="4" t="inlineStr">
        <x:is>
          <x:t xml:space="preserve">possible on painted surfaces</x:t>
        </x:is>
      </x:c>
      <x:c r="O58" s="4" t="inlineStr">
        <x:is>
          <x:t xml:space="preserve">moderate</x:t>
        </x:is>
      </x:c>
      <x:c r="P58" s="4" t="inlineStr">
        <x:is>
          <x:t xml:space="preserve">possible</x:t>
        </x:is>
      </x:c>
      <x:c r="Q58" s="4" t="inlineStr">
        <x:is>
          <x:t xml:space="preserve">clean light growth; remove damaged porous materials if persistent</x:t>
        </x:is>
      </x:c>
      <x:c r="R58" s="4" t="inlineStr">
        <x:is>
          <x:t xml:space="preserve">olive_black_patch, moisture_halo</x:t>
        </x:is>
      </x:c>
      <x:c r="S58" s="4" t="inlineStr">
        <x:is>
          <x:t xml:space="preserve">Phoma visual group</x:t>
        </x:is>
      </x:c>
      <x:c r="T58" s="4" t="inlineStr">
        <x:is>
          <x:t xml:space="preserve">moderate</x:t>
        </x:is>
      </x:c>
      <x:c r="U58" s="4" t="inlineStr">
        <x:is>
          <x:t xml:space="preserve">common indoor / allergen potential</x:t>
        </x:is>
      </x:c>
      <x:c r="V58" s="4" t="inlineStr">
        <x:is>
          <x:t xml:space="preserve">48-72+ hrs after sustained wetting</x:t>
        </x:is>
      </x:c>
      <x:c r="W58" s="4" t="inlineStr">
        <x:is>
          <x:t xml:space="preserve">surface/bulk + air comparison</x:t>
        </x:is>
      </x:c>
      <x:c r="X58" s="4" t="inlineStr">
        <x:is>
          <x:t xml:space="preserve">no</x:t>
        </x:is>
      </x:c>
      <x:c r="Y58" s="4" t="inlineStr">
        <x:is>
          <x:t xml:space="preserve">olive brown, black, powdery, patchy</x:t>
        </x:is>
      </x:c>
      <x:c r="Z58" s="4" t="inlineStr">
        <x:is>
          <x:t xml:space="preserve">porous materials preferred; non-porous growth usually on possible on painted surfaces</x:t>
        </x:is>
      </x:c>
    </x:row>
    <x:row r="59">
      <x:c r="A59" s="4" t="inlineStr">
        <x:is>
          <x:t xml:space="preserve">Stemphylium botryosum</x:t>
        </x:is>
      </x:c>
      <x:c r="B59" s="4" t="inlineStr">
        <x:is>
          <x:t xml:space="preserve">Stemphylium</x:t>
        </x:is>
      </x:c>
      <x:c r="C59" s="4" t="inlineStr">
        <x:is>
          <x:t xml:space="preserve">Allergenic</x:t>
        </x:is>
      </x:c>
      <x:c r="D59" s="4" t="inlineStr">
        <x:is>
          <x:t xml:space="preserve">brown</x:t>
        </x:is>
      </x:c>
      <x:c r="E59" s="4" t="inlineStr">
        <x:is>
          <x:t xml:space="preserve">olive</x:t>
        </x:is>
      </x:c>
      <x:c r="F59" s="4" t="inlineStr">
        <x:is>
          <x:t xml:space="preserve">velvety</x:t>
        </x:is>
      </x:c>
      <x:c r="G59" s="4" t="inlineStr">
        <x:is>
          <x:t xml:space="preserve">patchy</x:t>
        </x:is>
      </x:c>
      <x:c r="H59" s="4" t="inlineStr">
        <x:is>
          <x:t xml:space="preserve">window trim, drywall</x:t>
        </x:is>
      </x:c>
      <x:c r="I59" s="4" t="inlineStr">
        <x:is>
          <x:t xml:space="preserve">condensation-prone areas</x:t>
        </x:is>
      </x:c>
      <x:c r="J59" s="4" t="inlineStr">
        <x:is>
          <x:t xml:space="preserve">moderate</x:t>
        </x:is>
      </x:c>
      <x:c r="K59" s="4" t="inlineStr">
        <x:is>
          <x:t xml:space="preserve">65+</x:t>
        </x:is>
      </x:c>
      <x:c r="L59" s="4" t="inlineStr">
        <x:is>
          <x:t xml:space="preserve">18-30</x:t>
        </x:is>
      </x:c>
      <x:c r="M59" s="4" t="inlineStr">
        <x:is>
          <x:t xml:space="preserve">yes</x:t>
        </x:is>
      </x:c>
      <x:c r="N59" s="4" t="inlineStr">
        <x:is>
          <x:t xml:space="preserve">possible</x:t>
        </x:is>
      </x:c>
      <x:c r="O59" s="4" t="inlineStr">
        <x:is>
          <x:t xml:space="preserve">low to moderate</x:t>
        </x:is>
      </x:c>
      <x:c r="P59" s="4" t="inlineStr">
        <x:is>
          <x:t xml:space="preserve">possible</x:t>
        </x:is>
      </x:c>
      <x:c r="Q59" s="4" t="inlineStr">
        <x:is>
          <x:t xml:space="preserve">clean and manage humidity</x:t>
        </x:is>
      </x:c>
      <x:c r="R59" s="4" t="inlineStr">
        <x:is>
          <x:t xml:space="preserve">brown_patch, velvety_surface</x:t>
        </x:is>
      </x:c>
      <x:c r="S59" s="4" t="inlineStr">
        <x:is>
          <x:t xml:space="preserve">Dark multicellular spore group</x:t>
        </x:is>
      </x:c>
      <x:c r="T59" s="4" t="inlineStr">
        <x:is>
          <x:t xml:space="preserve">moderate</x:t>
        </x:is>
      </x:c>
      <x:c r="U59" s="4" t="inlineStr">
        <x:is>
          <x:t xml:space="preserve">allergenic</x:t>
        </x:is>
      </x:c>
      <x:c r="V59" s="4" t="inlineStr">
        <x:is>
          <x:t xml:space="preserve">24-48 hrs with persistent humidity</x:t>
        </x:is>
      </x:c>
      <x:c r="W59" s="4" t="inlineStr">
        <x:is>
          <x:t xml:space="preserve">air and/or surface depending on context</x:t>
        </x:is>
      </x:c>
      <x:c r="X59" s="4" t="inlineStr">
        <x:is>
          <x:t xml:space="preserve">yes</x:t>
        </x:is>
      </x:c>
      <x:c r="Y59" s="4" t="inlineStr">
        <x:is>
          <x:t xml:space="preserve">brown, olive, velvety, patchy</x:t>
        </x:is>
      </x:c>
      <x:c r="Z59" s="4" t="inlineStr">
        <x:is>
          <x:t xml:space="preserve">porous materials preferred; non-porous growth usually on possible</x:t>
        </x:is>
      </x:c>
    </x:row>
    <x:row r="60">
      <x:c r="A60" s="4" t="inlineStr">
        <x:is>
          <x:t xml:space="preserve">Stemphylium vesicarium</x:t>
        </x:is>
      </x:c>
      <x:c r="B60" s="4" t="inlineStr">
        <x:is>
          <x:t xml:space="preserve">Stemphylium</x:t>
        </x:is>
      </x:c>
      <x:c r="C60" s="4" t="inlineStr">
        <x:is>
          <x:t xml:space="preserve">Allergenic</x:t>
        </x:is>
      </x:c>
      <x:c r="D60" s="4" t="inlineStr">
        <x:is>
          <x:t xml:space="preserve">brown</x:t>
        </x:is>
      </x:c>
      <x:c r="E60" s="4" t="inlineStr">
        <x:is>
          <x:t xml:space="preserve">olive</x:t>
        </x:is>
      </x:c>
      <x:c r="F60" s="4" t="inlineStr">
        <x:is>
          <x:t xml:space="preserve">velvety</x:t>
        </x:is>
      </x:c>
      <x:c r="G60" s="4" t="inlineStr">
        <x:is>
          <x:t xml:space="preserve">patchy</x:t>
        </x:is>
      </x:c>
      <x:c r="H60" s="4" t="inlineStr">
        <x:is>
          <x:t xml:space="preserve">window trim, drywall</x:t>
        </x:is>
      </x:c>
      <x:c r="I60" s="4" t="inlineStr">
        <x:is>
          <x:t xml:space="preserve">condensation-prone areas</x:t>
        </x:is>
      </x:c>
      <x:c r="J60" s="4" t="inlineStr">
        <x:is>
          <x:t xml:space="preserve">moderate</x:t>
        </x:is>
      </x:c>
      <x:c r="K60" s="4" t="inlineStr">
        <x:is>
          <x:t xml:space="preserve">65+</x:t>
        </x:is>
      </x:c>
      <x:c r="L60" s="4" t="inlineStr">
        <x:is>
          <x:t xml:space="preserve">18-30</x:t>
        </x:is>
      </x:c>
      <x:c r="M60" s="4" t="inlineStr">
        <x:is>
          <x:t xml:space="preserve">yes</x:t>
        </x:is>
      </x:c>
      <x:c r="N60" s="4" t="inlineStr">
        <x:is>
          <x:t xml:space="preserve">possible</x:t>
        </x:is>
      </x:c>
      <x:c r="O60" s="4" t="inlineStr">
        <x:is>
          <x:t xml:space="preserve">low to moderate</x:t>
        </x:is>
      </x:c>
      <x:c r="P60" s="4" t="inlineStr">
        <x:is>
          <x:t xml:space="preserve">possible</x:t>
        </x:is>
      </x:c>
      <x:c r="Q60" s="4" t="inlineStr">
        <x:is>
          <x:t xml:space="preserve">clean and manage humidity</x:t>
        </x:is>
      </x:c>
      <x:c r="R60" s="4" t="inlineStr">
        <x:is>
          <x:t xml:space="preserve">brown_patch, velvety_surface</x:t>
        </x:is>
      </x:c>
      <x:c r="S60" s="4" t="inlineStr">
        <x:is>
          <x:t xml:space="preserve">Dark multicellular spore group</x:t>
        </x:is>
      </x:c>
      <x:c r="T60" s="4" t="inlineStr">
        <x:is>
          <x:t xml:space="preserve">moderate</x:t>
        </x:is>
      </x:c>
      <x:c r="U60" s="4" t="inlineStr">
        <x:is>
          <x:t xml:space="preserve">allergenic</x:t>
        </x:is>
      </x:c>
      <x:c r="V60" s="4" t="inlineStr">
        <x:is>
          <x:t xml:space="preserve">24-48 hrs with persistent humidity</x:t>
        </x:is>
      </x:c>
      <x:c r="W60" s="4" t="inlineStr">
        <x:is>
          <x:t xml:space="preserve">air and/or surface depending on context</x:t>
        </x:is>
      </x:c>
      <x:c r="X60" s="4" t="inlineStr">
        <x:is>
          <x:t xml:space="preserve">yes</x:t>
        </x:is>
      </x:c>
      <x:c r="Y60" s="4" t="inlineStr">
        <x:is>
          <x:t xml:space="preserve">brown, olive, velvety, patchy</x:t>
        </x:is>
      </x:c>
      <x:c r="Z60" s="4" t="inlineStr">
        <x:is>
          <x:t xml:space="preserve">porous materials preferred; non-porous growth usually on possible</x:t>
        </x:is>
      </x:c>
    </x:row>
    <x:row r="61">
      <x:c r="A61" s="4" t="inlineStr">
        <x:is>
          <x:t xml:space="preserve">Scopulariopsis brevicaulis</x:t>
        </x:is>
      </x:c>
      <x:c r="B61" s="4" t="inlineStr">
        <x:is>
          <x:t xml:space="preserve">Scopulariopsis</x:t>
        </x:is>
      </x:c>
      <x:c r="C61" s="4" t="inlineStr">
        <x:is>
          <x:t xml:space="preserve">Dry environment mold</x:t>
        </x:is>
      </x:c>
      <x:c r="D61" s="4" t="inlineStr">
        <x:is>
          <x:t xml:space="preserve">tan</x:t>
        </x:is>
      </x:c>
      <x:c r="E61" s="4" t="inlineStr">
        <x:is>
          <x:t xml:space="preserve">brown</x:t>
        </x:is>
      </x:c>
      <x:c r="F61" s="4" t="inlineStr">
        <x:is>
          <x:t xml:space="preserve">powdery</x:t>
        </x:is>
      </x:c>
      <x:c r="G61" s="4" t="inlineStr">
        <x:is>
          <x:t xml:space="preserve">patchy</x:t>
        </x:is>
      </x:c>
      <x:c r="H61" s="4" t="inlineStr">
        <x:is>
          <x:t xml:space="preserve">wood, paper, dust</x:t>
        </x:is>
      </x:c>
      <x:c r="I61" s="4" t="inlineStr">
        <x:is>
          <x:t xml:space="preserve">attics, dry walls, stored boxes</x:t>
        </x:is>
      </x:c>
      <x:c r="J61" s="4" t="inlineStr">
        <x:is>
          <x:t xml:space="preserve">low to moderate</x:t>
        </x:is>
      </x:c>
      <x:c r="K61" s="4" t="inlineStr">
        <x:is>
          <x:t xml:space="preserve">55+</x:t>
        </x:is>
      </x:c>
      <x:c r="L61" s="4" t="inlineStr">
        <x:is>
          <x:t xml:space="preserve">15-30</x:t>
        </x:is>
      </x:c>
      <x:c r="M61" s="4" t="inlineStr">
        <x:is>
          <x:t xml:space="preserve">yes</x:t>
        </x:is>
      </x:c>
      <x:c r="N61" s="4" t="inlineStr">
        <x:is>
          <x:t xml:space="preserve">possible via dust</x:t>
        </x:is>
      </x:c>
      <x:c r="O61" s="4" t="inlineStr">
        <x:is>
          <x:t xml:space="preserve">low to moderate</x:t>
        </x:is>
      </x:c>
      <x:c r="P61" s="4" t="inlineStr">
        <x:is>
          <x:t xml:space="preserve">possible</x:t>
        </x:is>
      </x:c>
      <x:c r="Q61" s="4" t="inlineStr">
        <x:is>
          <x:t xml:space="preserve">HEPA vacuum and dry clean-up</x:t>
        </x:is>
      </x:c>
      <x:c r="R61" s="4" t="inlineStr">
        <x:is>
          <x:t xml:space="preserve">tan_powder, dry_surface</x:t>
        </x:is>
      </x:c>
      <x:c r="S61" s="4" t="inlineStr">
        <x:is>
          <x:t xml:space="preserve">Scopulariopsis visual group</x:t>
        </x:is>
      </x:c>
      <x:c r="T61" s="4" t="inlineStr">
        <x:is>
          <x:t xml:space="preserve">low-to-moderate</x:t>
        </x:is>
      </x:c>
      <x:c r="U61" s="4" t="inlineStr">
        <x:is>
          <x:t xml:space="preserve">allergenic + opportunistic infectious</x:t>
        </x:is>
      </x:c>
      <x:c r="V61" s="4" t="inlineStr">
        <x:is>
          <x:t xml:space="preserve">24-48 hrs with residue + humidity</x:t>
        </x:is>
      </x:c>
      <x:c r="W61" s="4" t="inlineStr">
        <x:is>
          <x:t xml:space="preserve">air and/or surface depending on context</x:t>
        </x:is>
      </x:c>
      <x:c r="X61" s="4" t="inlineStr">
        <x:is>
          <x:t xml:space="preserve">no</x:t>
        </x:is>
      </x:c>
      <x:c r="Y61" s="4" t="inlineStr">
        <x:is>
          <x:t xml:space="preserve">tan, brown, powdery, patchy</x:t>
        </x:is>
      </x:c>
      <x:c r="Z61" s="4" t="inlineStr">
        <x:is>
          <x:t xml:space="preserve">porous materials preferred; non-porous growth usually on possible via dust</x:t>
        </x:is>
      </x:c>
    </x:row>
    <x:row r="62">
      <x:c r="A62" s="4" t="inlineStr">
        <x:is>
          <x:t xml:space="preserve">Scopulariopsis fusca</x:t>
        </x:is>
      </x:c>
      <x:c r="B62" s="4" t="inlineStr">
        <x:is>
          <x:t xml:space="preserve">Scopulariopsis</x:t>
        </x:is>
      </x:c>
      <x:c r="C62" s="4" t="inlineStr">
        <x:is>
          <x:t xml:space="preserve">Dry environment mold</x:t>
        </x:is>
      </x:c>
      <x:c r="D62" s="4" t="inlineStr">
        <x:is>
          <x:t xml:space="preserve">tan</x:t>
        </x:is>
      </x:c>
      <x:c r="E62" s="4" t="inlineStr">
        <x:is>
          <x:t xml:space="preserve">brown</x:t>
        </x:is>
      </x:c>
      <x:c r="F62" s="4" t="inlineStr">
        <x:is>
          <x:t xml:space="preserve">powdery</x:t>
        </x:is>
      </x:c>
      <x:c r="G62" s="4" t="inlineStr">
        <x:is>
          <x:t xml:space="preserve">patchy</x:t>
        </x:is>
      </x:c>
      <x:c r="H62" s="4" t="inlineStr">
        <x:is>
          <x:t xml:space="preserve">wood, paper, dust</x:t>
        </x:is>
      </x:c>
      <x:c r="I62" s="4" t="inlineStr">
        <x:is>
          <x:t xml:space="preserve">attics, dry walls, stored boxes</x:t>
        </x:is>
      </x:c>
      <x:c r="J62" s="4" t="inlineStr">
        <x:is>
          <x:t xml:space="preserve">low to moderate</x:t>
        </x:is>
      </x:c>
      <x:c r="K62" s="4" t="inlineStr">
        <x:is>
          <x:t xml:space="preserve">55+</x:t>
        </x:is>
      </x:c>
      <x:c r="L62" s="4" t="inlineStr">
        <x:is>
          <x:t xml:space="preserve">15-30</x:t>
        </x:is>
      </x:c>
      <x:c r="M62" s="4" t="inlineStr">
        <x:is>
          <x:t xml:space="preserve">yes</x:t>
        </x:is>
      </x:c>
      <x:c r="N62" s="4" t="inlineStr">
        <x:is>
          <x:t xml:space="preserve">possible via dust</x:t>
        </x:is>
      </x:c>
      <x:c r="O62" s="4" t="inlineStr">
        <x:is>
          <x:t xml:space="preserve">low to moderate</x:t>
        </x:is>
      </x:c>
      <x:c r="P62" s="4" t="inlineStr">
        <x:is>
          <x:t xml:space="preserve">possible</x:t>
        </x:is>
      </x:c>
      <x:c r="Q62" s="4" t="inlineStr">
        <x:is>
          <x:t xml:space="preserve">HEPA vacuum and dry clean-up</x:t>
        </x:is>
      </x:c>
      <x:c r="R62" s="4" t="inlineStr">
        <x:is>
          <x:t xml:space="preserve">tan_powder, dry_surface</x:t>
        </x:is>
      </x:c>
      <x:c r="S62" s="4" t="inlineStr">
        <x:is>
          <x:t xml:space="preserve">Scopulariopsis visual group</x:t>
        </x:is>
      </x:c>
      <x:c r="T62" s="4" t="inlineStr">
        <x:is>
          <x:t xml:space="preserve">low-to-moderate</x:t>
        </x:is>
      </x:c>
      <x:c r="U62" s="4" t="inlineStr">
        <x:is>
          <x:t xml:space="preserve">allergenic + opportunistic infectious</x:t>
        </x:is>
      </x:c>
      <x:c r="V62" s="4" t="inlineStr">
        <x:is>
          <x:t xml:space="preserve">24-48 hrs with residue + humidity</x:t>
        </x:is>
      </x:c>
      <x:c r="W62" s="4" t="inlineStr">
        <x:is>
          <x:t xml:space="preserve">air and/or surface depending on context</x:t>
        </x:is>
      </x:c>
      <x:c r="X62" s="4" t="inlineStr">
        <x:is>
          <x:t xml:space="preserve">no</x:t>
        </x:is>
      </x:c>
      <x:c r="Y62" s="4" t="inlineStr">
        <x:is>
          <x:t xml:space="preserve">tan, brown, powdery, patchy</x:t>
        </x:is>
      </x:c>
      <x:c r="Z62" s="4" t="inlineStr">
        <x:is>
          <x:t xml:space="preserve">porous materials preferred; non-porous growth usually on possible via dust</x:t>
        </x:is>
      </x:c>
    </x:row>
    <x:row r="63">
      <x:c r="A63" s="4" t="inlineStr">
        <x:is>
          <x:t xml:space="preserve">Wallemia sebi</x:t>
        </x:is>
      </x:c>
      <x:c r="B63" s="4" t="inlineStr">
        <x:is>
          <x:t xml:space="preserve">Wallemia</x:t>
        </x:is>
      </x:c>
      <x:c r="C63" s="4" t="inlineStr">
        <x:is>
          <x:t xml:space="preserve">Dry environment mold</x:t>
        </x:is>
      </x:c>
      <x:c r="D63" s="4" t="inlineStr">
        <x:is>
          <x:t xml:space="preserve">brown</x:t>
        </x:is>
      </x:c>
      <x:c r="E63" s="4" t="inlineStr">
        <x:is>
          <x:t xml:space="preserve">black</x:t>
        </x:is>
      </x:c>
      <x:c r="F63" s="4" t="inlineStr">
        <x:is>
          <x:t xml:space="preserve">powdery</x:t>
        </x:is>
      </x:c>
      <x:c r="G63" s="4" t="inlineStr">
        <x:is>
          <x:t xml:space="preserve">low profile</x:t>
        </x:is>
      </x:c>
      <x:c r="H63" s="4" t="inlineStr">
        <x:is>
          <x:t xml:space="preserve">dust, dry foods, drywall dust</x:t>
        </x:is>
      </x:c>
      <x:c r="I63" s="4" t="inlineStr">
        <x:is>
          <x:t xml:space="preserve">dry indoor air, dusty shelving</x:t>
        </x:is>
      </x:c>
      <x:c r="J63" s="4" t="inlineStr">
        <x:is>
          <x:t xml:space="preserve">low</x:t>
        </x:is>
      </x:c>
      <x:c r="K63" s="4" t="inlineStr">
        <x:is>
          <x:t xml:space="preserve">50+</x:t>
        </x:is>
      </x:c>
      <x:c r="L63" s="4" t="inlineStr">
        <x:is>
          <x:t xml:space="preserve">15-30</x:t>
        </x:is>
      </x:c>
      <x:c r="M63" s="4" t="inlineStr">
        <x:is>
          <x:t xml:space="preserve">yes</x:t>
        </x:is>
      </x:c>
      <x:c r="N63" s="4" t="inlineStr">
        <x:is>
          <x:t xml:space="preserve">possible via dust</x:t>
        </x:is>
      </x:c>
      <x:c r="O63" s="4" t="inlineStr">
        <x:is>
          <x:t xml:space="preserve">low to moderate</x:t>
        </x:is>
      </x:c>
      <x:c r="P63" s="4" t="inlineStr">
        <x:is>
          <x:t xml:space="preserve">possible</x:t>
        </x:is>
      </x:c>
      <x:c r="Q63" s="4" t="inlineStr">
        <x:is>
          <x:t xml:space="preserve">clean dust reservoirs and improve housekeeping</x:t>
        </x:is>
      </x:c>
      <x:c r="R63" s="4" t="inlineStr">
        <x:is>
          <x:t xml:space="preserve">tiny_brown_colonies, dry_dusty</x:t>
        </x:is>
      </x:c>
      <x:c r="S63" s="4" t="inlineStr">
        <x:is>
          <x:t xml:space="preserve">Wallemia visual group</x:t>
        </x:is>
      </x:c>
      <x:c r="T63" s="4" t="inlineStr">
        <x:is>
          <x:t xml:space="preserve">low</x:t>
        </x:is>
      </x:c>
      <x:c r="U63" s="4" t="inlineStr">
        <x:is>
          <x:t xml:space="preserve">dry-environment allergen / irritant potential</x:t>
        </x:is>
      </x:c>
      <x:c r="V63" s="4" t="inlineStr">
        <x:is>
          <x:t xml:space="preserve">slower; low-water-activity tolerant conditions</x:t>
        </x:is>
      </x:c>
      <x:c r="W63" s="4" t="inlineStr">
        <x:is>
          <x:t xml:space="preserve">air and/or surface depending on context</x:t>
        </x:is>
      </x:c>
      <x:c r="X63" s="4" t="inlineStr">
        <x:is>
          <x:t xml:space="preserve">no</x:t>
        </x:is>
      </x:c>
      <x:c r="Y63" s="4" t="inlineStr">
        <x:is>
          <x:t xml:space="preserve">brown, black, powdery, low profile</x:t>
        </x:is>
      </x:c>
      <x:c r="Z63" s="4" t="inlineStr">
        <x:is>
          <x:t xml:space="preserve">porous materials preferred; non-porous growth usually on possible via dust</x:t>
        </x:is>
      </x:c>
    </x:row>
    <x:row r="64">
      <x:c r="A64" s="4" t="inlineStr">
        <x:is>
          <x:t xml:space="preserve">Wallemia muriae</x:t>
        </x:is>
      </x:c>
      <x:c r="B64" s="4" t="inlineStr">
        <x:is>
          <x:t xml:space="preserve">Wallemia</x:t>
        </x:is>
      </x:c>
      <x:c r="C64" s="4" t="inlineStr">
        <x:is>
          <x:t xml:space="preserve">Dry environment mold</x:t>
        </x:is>
      </x:c>
      <x:c r="D64" s="4" t="inlineStr">
        <x:is>
          <x:t xml:space="preserve">brown</x:t>
        </x:is>
      </x:c>
      <x:c r="E64" s="4" t="inlineStr">
        <x:is>
          <x:t xml:space="preserve">black</x:t>
        </x:is>
      </x:c>
      <x:c r="F64" s="4" t="inlineStr">
        <x:is>
          <x:t xml:space="preserve">powdery</x:t>
        </x:is>
      </x:c>
      <x:c r="G64" s="4" t="inlineStr">
        <x:is>
          <x:t xml:space="preserve">low profile</x:t>
        </x:is>
      </x:c>
      <x:c r="H64" s="4" t="inlineStr">
        <x:is>
          <x:t xml:space="preserve">dust, dry foods, drywall dust</x:t>
        </x:is>
      </x:c>
      <x:c r="I64" s="4" t="inlineStr">
        <x:is>
          <x:t xml:space="preserve">dry indoor air, dusty shelving</x:t>
        </x:is>
      </x:c>
      <x:c r="J64" s="4" t="inlineStr">
        <x:is>
          <x:t xml:space="preserve">low</x:t>
        </x:is>
      </x:c>
      <x:c r="K64" s="4" t="inlineStr">
        <x:is>
          <x:t xml:space="preserve">50+</x:t>
        </x:is>
      </x:c>
      <x:c r="L64" s="4" t="inlineStr">
        <x:is>
          <x:t xml:space="preserve">15-30</x:t>
        </x:is>
      </x:c>
      <x:c r="M64" s="4" t="inlineStr">
        <x:is>
          <x:t xml:space="preserve">yes</x:t>
        </x:is>
      </x:c>
      <x:c r="N64" s="4" t="inlineStr">
        <x:is>
          <x:t xml:space="preserve">possible via dust</x:t>
        </x:is>
      </x:c>
      <x:c r="O64" s="4" t="inlineStr">
        <x:is>
          <x:t xml:space="preserve">low to moderate</x:t>
        </x:is>
      </x:c>
      <x:c r="P64" s="4" t="inlineStr">
        <x:is>
          <x:t xml:space="preserve">possible</x:t>
        </x:is>
      </x:c>
      <x:c r="Q64" s="4" t="inlineStr">
        <x:is>
          <x:t xml:space="preserve">clean dust reservoirs and improve housekeeping</x:t>
        </x:is>
      </x:c>
      <x:c r="R64" s="4" t="inlineStr">
        <x:is>
          <x:t xml:space="preserve">tiny_brown_colonies, dry_dusty</x:t>
        </x:is>
      </x:c>
      <x:c r="S64" s="4" t="inlineStr">
        <x:is>
          <x:t xml:space="preserve">Wallemia visual group</x:t>
        </x:is>
      </x:c>
      <x:c r="T64" s="4" t="inlineStr">
        <x:is>
          <x:t xml:space="preserve">low</x:t>
        </x:is>
      </x:c>
      <x:c r="U64" s="4" t="inlineStr">
        <x:is>
          <x:t xml:space="preserve">dry-environment allergen / irritant potential</x:t>
        </x:is>
      </x:c>
      <x:c r="V64" s="4" t="inlineStr">
        <x:is>
          <x:t xml:space="preserve">slower; low-water-activity tolerant conditions</x:t>
        </x:is>
      </x:c>
      <x:c r="W64" s="4" t="inlineStr">
        <x:is>
          <x:t xml:space="preserve">air and/or surface depending on context</x:t>
        </x:is>
      </x:c>
      <x:c r="X64" s="4" t="inlineStr">
        <x:is>
          <x:t xml:space="preserve">no</x:t>
        </x:is>
      </x:c>
      <x:c r="Y64" s="4" t="inlineStr">
        <x:is>
          <x:t xml:space="preserve">brown, black, powdery, low profile</x:t>
        </x:is>
      </x:c>
      <x:c r="Z64" s="4" t="inlineStr">
        <x:is>
          <x:t xml:space="preserve">porous materials preferred; non-porous growth usually on possible via dust</x:t>
        </x:is>
      </x:c>
    </x:row>
    <x:row r="65">
      <x:c r="A65" s="4" t="inlineStr">
        <x:is>
          <x:t xml:space="preserve">Acremonium strictum</x:t>
        </x:is>
      </x:c>
      <x:c r="B65" s="4" t="inlineStr">
        <x:is>
          <x:t xml:space="preserve">Acremonium</x:t>
        </x:is>
      </x:c>
      <x:c r="C65" s="4" t="inlineStr">
        <x:is>
          <x:t xml:space="preserve">Common indoor</x:t>
        </x:is>
      </x:c>
      <x:c r="D65" s="4" t="inlineStr">
        <x:is>
          <x:t xml:space="preserve">white</x:t>
        </x:is>
      </x:c>
      <x:c r="E65" s="4" t="inlineStr">
        <x:is>
          <x:t xml:space="preserve">gray</x:t>
        </x:is>
      </x:c>
      <x:c r="F65" s="4" t="inlineStr">
        <x:is>
          <x:t xml:space="preserve">powdery</x:t>
        </x:is>
      </x:c>
      <x:c r="G65" s="4" t="inlineStr">
        <x:is>
          <x:t xml:space="preserve">patchy</x:t>
        </x:is>
      </x:c>
      <x:c r="H65" s="4" t="inlineStr">
        <x:is>
          <x:t xml:space="preserve">drywall, wood, dust</x:t>
        </x:is>
      </x:c>
      <x:c r="I65" s="4" t="inlineStr">
        <x:is>
          <x:t xml:space="preserve">bathrooms, basements, HVAC, windows</x:t>
        </x:is>
      </x:c>
      <x:c r="J65" s="4" t="inlineStr">
        <x:is>
          <x:t xml:space="preserve">moderate</x:t>
        </x:is>
      </x:c>
      <x:c r="K65" s="4" t="inlineStr">
        <x:is>
          <x:t xml:space="preserve">60+</x:t>
        </x:is>
      </x:c>
      <x:c r="L65" s="4" t="inlineStr">
        <x:is>
          <x:t xml:space="preserve">15-32</x:t>
        </x:is>
      </x:c>
      <x:c r="M65" s="4" t="inlineStr">
        <x:is>
          <x:t xml:space="preserve">yes</x:t>
        </x:is>
      </x:c>
      <x:c r="N65" s="4" t="inlineStr">
        <x:is>
          <x:t xml:space="preserve">possible via dust</x:t>
        </x:is>
      </x:c>
      <x:c r="O65" s="4" t="inlineStr">
        <x:is>
          <x:t xml:space="preserve">low to moderate</x:t>
        </x:is>
      </x:c>
      <x:c r="P65" s="4" t="inlineStr">
        <x:is>
          <x:t xml:space="preserve">possible</x:t>
        </x:is>
      </x:c>
      <x:c r="Q65" s="4" t="inlineStr">
        <x:is>
          <x:t xml:space="preserve">clean visible growth, correct moisture, remove wet porous materials if extensive</x:t>
        </x:is>
      </x:c>
      <x:c r="R65" s="4" t="inlineStr">
        <x:is>
          <x:t xml:space="preserve">patchy_growth, discoloration, moisture_associated</x:t>
        </x:is>
      </x:c>
      <x:c r="S65" s="4" t="inlineStr">
        <x:is>
          <x:t xml:space="preserve">Aspergillus/Penicillium-like</x:t>
        </x:is>
      </x:c>
      <x:c r="T65" s="4" t="inlineStr">
        <x:is>
          <x:t xml:space="preserve">low-to-moderate</x:t>
        </x:is>
      </x:c>
      <x:c r="U65" s="4" t="inlineStr">
        <x:is>
          <x:t xml:space="preserve">common indoor / allergen potential</x:t>
        </x:is>
      </x:c>
      <x:c r="V65" s="4" t="inlineStr">
        <x:is>
          <x:t xml:space="preserve">24-48 hrs with persistent humidity</x:t>
        </x:is>
      </x:c>
      <x:c r="W65" s="4" t="inlineStr">
        <x:is>
          <x:t xml:space="preserve">air and/or surface depending on context</x:t>
        </x:is>
      </x:c>
      <x:c r="X65" s="4" t="inlineStr">
        <x:is>
          <x:t xml:space="preserve">no</x:t>
        </x:is>
      </x:c>
      <x:c r="Y65" s="4" t="inlineStr">
        <x:is>
          <x:t xml:space="preserve">white, gray, powdery, patchy</x:t>
        </x:is>
      </x:c>
      <x:c r="Z65" s="4" t="inlineStr">
        <x:is>
          <x:t xml:space="preserve">porous materials preferred; non-porous growth usually on possible via dust</x:t>
        </x:is>
      </x:c>
    </x:row>
    <x:row r="66">
      <x:c r="A66" s="4" t="inlineStr">
        <x:is>
          <x:t xml:space="preserve">Acremonium kiliense</x:t>
        </x:is>
      </x:c>
      <x:c r="B66" s="4" t="inlineStr">
        <x:is>
          <x:t xml:space="preserve">Acremonium</x:t>
        </x:is>
      </x:c>
      <x:c r="C66" s="4" t="inlineStr">
        <x:is>
          <x:t xml:space="preserve">Common indoor</x:t>
        </x:is>
      </x:c>
      <x:c r="D66" s="4" t="inlineStr">
        <x:is>
          <x:t xml:space="preserve">white</x:t>
        </x:is>
      </x:c>
      <x:c r="E66" s="4" t="inlineStr">
        <x:is>
          <x:t xml:space="preserve">gray</x:t>
        </x:is>
      </x:c>
      <x:c r="F66" s="4" t="inlineStr">
        <x:is>
          <x:t xml:space="preserve">powdery</x:t>
        </x:is>
      </x:c>
      <x:c r="G66" s="4" t="inlineStr">
        <x:is>
          <x:t xml:space="preserve">patchy</x:t>
        </x:is>
      </x:c>
      <x:c r="H66" s="4" t="inlineStr">
        <x:is>
          <x:t xml:space="preserve">drywall, wood, dust</x:t>
        </x:is>
      </x:c>
      <x:c r="I66" s="4" t="inlineStr">
        <x:is>
          <x:t xml:space="preserve">bathrooms, basements, HVAC, windows</x:t>
        </x:is>
      </x:c>
      <x:c r="J66" s="4" t="inlineStr">
        <x:is>
          <x:t xml:space="preserve">moderate</x:t>
        </x:is>
      </x:c>
      <x:c r="K66" s="4" t="inlineStr">
        <x:is>
          <x:t xml:space="preserve">60+</x:t>
        </x:is>
      </x:c>
      <x:c r="L66" s="4" t="inlineStr">
        <x:is>
          <x:t xml:space="preserve">15-32</x:t>
        </x:is>
      </x:c>
      <x:c r="M66" s="4" t="inlineStr">
        <x:is>
          <x:t xml:space="preserve">yes</x:t>
        </x:is>
      </x:c>
      <x:c r="N66" s="4" t="inlineStr">
        <x:is>
          <x:t xml:space="preserve">possible via dust</x:t>
        </x:is>
      </x:c>
      <x:c r="O66" s="4" t="inlineStr">
        <x:is>
          <x:t xml:space="preserve">low to moderate</x:t>
        </x:is>
      </x:c>
      <x:c r="P66" s="4" t="inlineStr">
        <x:is>
          <x:t xml:space="preserve">possible</x:t>
        </x:is>
      </x:c>
      <x:c r="Q66" s="4" t="inlineStr">
        <x:is>
          <x:t xml:space="preserve">clean visible growth, correct moisture, remove wet porous materials if extensive</x:t>
        </x:is>
      </x:c>
      <x:c r="R66" s="4" t="inlineStr">
        <x:is>
          <x:t xml:space="preserve">patchy_growth, discoloration, moisture_associated</x:t>
        </x:is>
      </x:c>
      <x:c r="S66" s="4" t="inlineStr">
        <x:is>
          <x:t xml:space="preserve">Aspergillus/Penicillium-like</x:t>
        </x:is>
      </x:c>
      <x:c r="T66" s="4" t="inlineStr">
        <x:is>
          <x:t xml:space="preserve">low-to-moderate</x:t>
        </x:is>
      </x:c>
      <x:c r="U66" s="4" t="inlineStr">
        <x:is>
          <x:t xml:space="preserve">common indoor / allergen potential</x:t>
        </x:is>
      </x:c>
      <x:c r="V66" s="4" t="inlineStr">
        <x:is>
          <x:t xml:space="preserve">24-48 hrs with persistent humidity</x:t>
        </x:is>
      </x:c>
      <x:c r="W66" s="4" t="inlineStr">
        <x:is>
          <x:t xml:space="preserve">air and/or surface depending on context</x:t>
        </x:is>
      </x:c>
      <x:c r="X66" s="4" t="inlineStr">
        <x:is>
          <x:t xml:space="preserve">no</x:t>
        </x:is>
      </x:c>
      <x:c r="Y66" s="4" t="inlineStr">
        <x:is>
          <x:t xml:space="preserve">white, gray, powdery, patchy</x:t>
        </x:is>
      </x:c>
      <x:c r="Z66" s="4" t="inlineStr">
        <x:is>
          <x:t xml:space="preserve">porous materials preferred; non-porous growth usually on possible via dust</x:t>
        </x:is>
      </x:c>
    </x:row>
    <x:row r="67">
      <x:c r="A67" s="4" t="inlineStr">
        <x:is>
          <x:t xml:space="preserve">Paecilomyces variotii</x:t>
        </x:is>
      </x:c>
      <x:c r="B67" s="4" t="inlineStr">
        <x:is>
          <x:t xml:space="preserve">Paecilomyces</x:t>
        </x:is>
      </x:c>
      <x:c r="C67" s="4" t="inlineStr">
        <x:is>
          <x:t xml:space="preserve">Common indoor</x:t>
        </x:is>
      </x:c>
      <x:c r="D67" s="4" t="inlineStr">
        <x:is>
          <x:t xml:space="preserve">white</x:t>
        </x:is>
      </x:c>
      <x:c r="E67" s="4" t="inlineStr">
        <x:is>
          <x:t xml:space="preserve">gray</x:t>
        </x:is>
      </x:c>
      <x:c r="F67" s="4" t="inlineStr">
        <x:is>
          <x:t xml:space="preserve">powdery</x:t>
        </x:is>
      </x:c>
      <x:c r="G67" s="4" t="inlineStr">
        <x:is>
          <x:t xml:space="preserve">patchy</x:t>
        </x:is>
      </x:c>
      <x:c r="H67" s="4" t="inlineStr">
        <x:is>
          <x:t xml:space="preserve">drywall, wood, dust</x:t>
        </x:is>
      </x:c>
      <x:c r="I67" s="4" t="inlineStr">
        <x:is>
          <x:t xml:space="preserve">bathrooms, basements, HVAC, windows</x:t>
        </x:is>
      </x:c>
      <x:c r="J67" s="4" t="inlineStr">
        <x:is>
          <x:t xml:space="preserve">moderate</x:t>
        </x:is>
      </x:c>
      <x:c r="K67" s="4" t="inlineStr">
        <x:is>
          <x:t xml:space="preserve">60+</x:t>
        </x:is>
      </x:c>
      <x:c r="L67" s="4" t="inlineStr">
        <x:is>
          <x:t xml:space="preserve">15-32</x:t>
        </x:is>
      </x:c>
      <x:c r="M67" s="4" t="inlineStr">
        <x:is>
          <x:t xml:space="preserve">yes</x:t>
        </x:is>
      </x:c>
      <x:c r="N67" s="4" t="inlineStr">
        <x:is>
          <x:t xml:space="preserve">possible via dust</x:t>
        </x:is>
      </x:c>
      <x:c r="O67" s="4" t="inlineStr">
        <x:is>
          <x:t xml:space="preserve">low to moderate</x:t>
        </x:is>
      </x:c>
      <x:c r="P67" s="4" t="inlineStr">
        <x:is>
          <x:t xml:space="preserve">possible</x:t>
        </x:is>
      </x:c>
      <x:c r="Q67" s="4" t="inlineStr">
        <x:is>
          <x:t xml:space="preserve">clean visible growth, correct moisture, remove wet porous materials if extensive</x:t>
        </x:is>
      </x:c>
      <x:c r="R67" s="4" t="inlineStr">
        <x:is>
          <x:t xml:space="preserve">patchy_growth, discoloration, moisture_associated</x:t>
        </x:is>
      </x:c>
      <x:c r="S67" s="4" t="inlineStr">
        <x:is>
          <x:t xml:space="preserve">Aspergillus/Penicillium-like</x:t>
        </x:is>
      </x:c>
      <x:c r="T67" s="4" t="inlineStr">
        <x:is>
          <x:t xml:space="preserve">low-to-moderate</x:t>
        </x:is>
      </x:c>
      <x:c r="U67" s="4" t="inlineStr">
        <x:is>
          <x:t xml:space="preserve">common indoor / allergen potential</x:t>
        </x:is>
      </x:c>
      <x:c r="V67" s="4" t="inlineStr">
        <x:is>
          <x:t xml:space="preserve">24-48 hrs with persistent humidity</x:t>
        </x:is>
      </x:c>
      <x:c r="W67" s="4" t="inlineStr">
        <x:is>
          <x:t xml:space="preserve">air + surface/bulk</x:t>
        </x:is>
      </x:c>
      <x:c r="X67" s="4" t="inlineStr">
        <x:is>
          <x:t xml:space="preserve">no</x:t>
        </x:is>
      </x:c>
      <x:c r="Y67" s="4" t="inlineStr">
        <x:is>
          <x:t xml:space="preserve">white, gray, powdery, patchy</x:t>
        </x:is>
      </x:c>
      <x:c r="Z67" s="4" t="inlineStr">
        <x:is>
          <x:t xml:space="preserve">porous materials preferred; non-porous growth usually on possible via dust</x:t>
        </x:is>
      </x:c>
    </x:row>
    <x:row r="68">
      <x:c r="A68" s="4" t="inlineStr">
        <x:is>
          <x:t xml:space="preserve">Purpureocillium lilacinum</x:t>
        </x:is>
      </x:c>
      <x:c r="B68" s="4" t="inlineStr">
        <x:is>
          <x:t xml:space="preserve">Purpureocillium</x:t>
        </x:is>
      </x:c>
      <x:c r="C68" s="4" t="inlineStr">
        <x:is>
          <x:t xml:space="preserve">Common indoor</x:t>
        </x:is>
      </x:c>
      <x:c r="D68" s="4" t="inlineStr">
        <x:is>
          <x:t xml:space="preserve">white</x:t>
        </x:is>
      </x:c>
      <x:c r="E68" s="4" t="inlineStr">
        <x:is>
          <x:t xml:space="preserve">gray</x:t>
        </x:is>
      </x:c>
      <x:c r="F68" s="4" t="inlineStr">
        <x:is>
          <x:t xml:space="preserve">powdery</x:t>
        </x:is>
      </x:c>
      <x:c r="G68" s="4" t="inlineStr">
        <x:is>
          <x:t xml:space="preserve">patchy</x:t>
        </x:is>
      </x:c>
      <x:c r="H68" s="4" t="inlineStr">
        <x:is>
          <x:t xml:space="preserve">drywall, wood, dust</x:t>
        </x:is>
      </x:c>
      <x:c r="I68" s="4" t="inlineStr">
        <x:is>
          <x:t xml:space="preserve">bathrooms, basements, HVAC, windows</x:t>
        </x:is>
      </x:c>
      <x:c r="J68" s="4" t="inlineStr">
        <x:is>
          <x:t xml:space="preserve">moderate</x:t>
        </x:is>
      </x:c>
      <x:c r="K68" s="4" t="inlineStr">
        <x:is>
          <x:t xml:space="preserve">60+</x:t>
        </x:is>
      </x:c>
      <x:c r="L68" s="4" t="inlineStr">
        <x:is>
          <x:t xml:space="preserve">15-32</x:t>
        </x:is>
      </x:c>
      <x:c r="M68" s="4" t="inlineStr">
        <x:is>
          <x:t xml:space="preserve">yes</x:t>
        </x:is>
      </x:c>
      <x:c r="N68" s="4" t="inlineStr">
        <x:is>
          <x:t xml:space="preserve">possible via dust</x:t>
        </x:is>
      </x:c>
      <x:c r="O68" s="4" t="inlineStr">
        <x:is>
          <x:t xml:space="preserve">low to moderate</x:t>
        </x:is>
      </x:c>
      <x:c r="P68" s="4" t="inlineStr">
        <x:is>
          <x:t xml:space="preserve">possible</x:t>
        </x:is>
      </x:c>
      <x:c r="Q68" s="4" t="inlineStr">
        <x:is>
          <x:t xml:space="preserve">clean visible growth, correct moisture, remove wet porous materials if extensive</x:t>
        </x:is>
      </x:c>
      <x:c r="R68" s="4" t="inlineStr">
        <x:is>
          <x:t xml:space="preserve">patchy_growth, discoloration, moisture_associated</x:t>
        </x:is>
      </x:c>
      <x:c r="S68" s="4" t="inlineStr">
        <x:is>
          <x:t xml:space="preserve">Purpureocillium visual group</x:t>
        </x:is>
      </x:c>
      <x:c r="T68" s="4" t="inlineStr">
        <x:is>
          <x:t xml:space="preserve">moderate</x:t>
        </x:is>
      </x:c>
      <x:c r="U68" s="4" t="inlineStr">
        <x:is>
          <x:t xml:space="preserve">common indoor / allergen potential</x:t>
        </x:is>
      </x:c>
      <x:c r="V68" s="4" t="inlineStr">
        <x:is>
          <x:t xml:space="preserve">24-48 hrs with persistent humidity</x:t>
        </x:is>
      </x:c>
      <x:c r="W68" s="4" t="inlineStr">
        <x:is>
          <x:t xml:space="preserve">air and/or surface depending on context</x:t>
        </x:is>
      </x:c>
      <x:c r="X68" s="4" t="inlineStr">
        <x:is>
          <x:t xml:space="preserve">no</x:t>
        </x:is>
      </x:c>
      <x:c r="Y68" s="4" t="inlineStr">
        <x:is>
          <x:t xml:space="preserve">white, gray, powdery, patchy</x:t>
        </x:is>
      </x:c>
      <x:c r="Z68" s="4" t="inlineStr">
        <x:is>
          <x:t xml:space="preserve">porous materials preferred; non-porous growth usually on possible via dust</x:t>
        </x:is>
      </x:c>
    </x:row>
    <x:row r="69">
      <x:c r="A69" s="4" t="inlineStr">
        <x:is>
          <x:t xml:space="preserve">Memnoniella echinata</x:t>
        </x:is>
      </x:c>
      <x:c r="B69" s="4" t="inlineStr">
        <x:is>
          <x:t xml:space="preserve">Memnoniella</x:t>
        </x:is>
      </x:c>
      <x:c r="C69" s="4" t="inlineStr">
        <x:is>
          <x:t xml:space="preserve">Common indoor</x:t>
        </x:is>
      </x:c>
      <x:c r="D69" s="4" t="inlineStr">
        <x:is>
          <x:t xml:space="preserve">white</x:t>
        </x:is>
      </x:c>
      <x:c r="E69" s="4" t="inlineStr">
        <x:is>
          <x:t xml:space="preserve">gray</x:t>
        </x:is>
      </x:c>
      <x:c r="F69" s="4" t="inlineStr">
        <x:is>
          <x:t xml:space="preserve">powdery</x:t>
        </x:is>
      </x:c>
      <x:c r="G69" s="4" t="inlineStr">
        <x:is>
          <x:t xml:space="preserve">patchy</x:t>
        </x:is>
      </x:c>
      <x:c r="H69" s="4" t="inlineStr">
        <x:is>
          <x:t xml:space="preserve">drywall, wood, dust</x:t>
        </x:is>
      </x:c>
      <x:c r="I69" s="4" t="inlineStr">
        <x:is>
          <x:t xml:space="preserve">bathrooms, basements, HVAC, windows</x:t>
        </x:is>
      </x:c>
      <x:c r="J69" s="4" t="inlineStr">
        <x:is>
          <x:t xml:space="preserve">moderate</x:t>
        </x:is>
      </x:c>
      <x:c r="K69" s="4" t="inlineStr">
        <x:is>
          <x:t xml:space="preserve">60+</x:t>
        </x:is>
      </x:c>
      <x:c r="L69" s="4" t="inlineStr">
        <x:is>
          <x:t xml:space="preserve">15-32</x:t>
        </x:is>
      </x:c>
      <x:c r="M69" s="4" t="inlineStr">
        <x:is>
          <x:t xml:space="preserve">yes</x:t>
        </x:is>
      </x:c>
      <x:c r="N69" s="4" t="inlineStr">
        <x:is>
          <x:t xml:space="preserve">possible via dust</x:t>
        </x:is>
      </x:c>
      <x:c r="O69" s="4" t="inlineStr">
        <x:is>
          <x:t xml:space="preserve">low to moderate</x:t>
        </x:is>
      </x:c>
      <x:c r="P69" s="4" t="inlineStr">
        <x:is>
          <x:t xml:space="preserve">possible</x:t>
        </x:is>
      </x:c>
      <x:c r="Q69" s="4" t="inlineStr">
        <x:is>
          <x:t xml:space="preserve">clean visible growth, correct moisture, remove wet porous materials if extensive</x:t>
        </x:is>
      </x:c>
      <x:c r="R69" s="4" t="inlineStr">
        <x:is>
          <x:t xml:space="preserve">patchy_growth, discoloration, moisture_associated</x:t>
        </x:is>
      </x:c>
      <x:c r="S69" s="4" t="inlineStr">
        <x:is>
          <x:t xml:space="preserve">Sticky water-damage group</x:t>
        </x:is>
      </x:c>
      <x:c r="T69" s="4" t="inlineStr">
        <x:is>
          <x:t xml:space="preserve">high</x:t>
        </x:is>
      </x:c>
      <x:c r="U69" s="4" t="inlineStr">
        <x:is>
          <x:t xml:space="preserve">toxic + allergenic</x:t>
        </x:is>
      </x:c>
      <x:c r="V69" s="4" t="inlineStr">
        <x:is>
          <x:t xml:space="preserve">24-48 hrs with persistent humidity</x:t>
        </x:is>
      </x:c>
      <x:c r="W69" s="4" t="inlineStr">
        <x:is>
          <x:t xml:space="preserve">surface/bulk preferred; air may under-represent</x:t>
        </x:is>
      </x:c>
      <x:c r="X69" s="4" t="inlineStr">
        <x:is>
          <x:t xml:space="preserve">yes</x:t>
        </x:is>
      </x:c>
      <x:c r="Y69" s="4" t="inlineStr">
        <x:is>
          <x:t xml:space="preserve">white, gray, powdery, patchy</x:t>
        </x:is>
      </x:c>
      <x:c r="Z69" s="4" t="inlineStr">
        <x:is>
          <x:t xml:space="preserve">porous materials preferred; non-porous growth usually on possible via dust</x:t>
        </x:is>
      </x:c>
    </x:row>
    <x:row r="70">
      <x:c r="A70" s="4" t="inlineStr">
        <x:is>
          <x:t xml:space="preserve">Memnoniella longistipitata</x:t>
        </x:is>
      </x:c>
      <x:c r="B70" s="4" t="inlineStr">
        <x:is>
          <x:t xml:space="preserve">Memnoniella</x:t>
        </x:is>
      </x:c>
      <x:c r="C70" s="4" t="inlineStr">
        <x:is>
          <x:t xml:space="preserve">Common indoor</x:t>
        </x:is>
      </x:c>
      <x:c r="D70" s="4" t="inlineStr">
        <x:is>
          <x:t xml:space="preserve">white</x:t>
        </x:is>
      </x:c>
      <x:c r="E70" s="4" t="inlineStr">
        <x:is>
          <x:t xml:space="preserve">gray</x:t>
        </x:is>
      </x:c>
      <x:c r="F70" s="4" t="inlineStr">
        <x:is>
          <x:t xml:space="preserve">powdery</x:t>
        </x:is>
      </x:c>
      <x:c r="G70" s="4" t="inlineStr">
        <x:is>
          <x:t xml:space="preserve">patchy</x:t>
        </x:is>
      </x:c>
      <x:c r="H70" s="4" t="inlineStr">
        <x:is>
          <x:t xml:space="preserve">drywall, wood, dust</x:t>
        </x:is>
      </x:c>
      <x:c r="I70" s="4" t="inlineStr">
        <x:is>
          <x:t xml:space="preserve">bathrooms, basements, HVAC, windows</x:t>
        </x:is>
      </x:c>
      <x:c r="J70" s="4" t="inlineStr">
        <x:is>
          <x:t xml:space="preserve">moderate</x:t>
        </x:is>
      </x:c>
      <x:c r="K70" s="4" t="inlineStr">
        <x:is>
          <x:t xml:space="preserve">60+</x:t>
        </x:is>
      </x:c>
      <x:c r="L70" s="4" t="inlineStr">
        <x:is>
          <x:t xml:space="preserve">15-32</x:t>
        </x:is>
      </x:c>
      <x:c r="M70" s="4" t="inlineStr">
        <x:is>
          <x:t xml:space="preserve">yes</x:t>
        </x:is>
      </x:c>
      <x:c r="N70" s="4" t="inlineStr">
        <x:is>
          <x:t xml:space="preserve">possible via dust</x:t>
        </x:is>
      </x:c>
      <x:c r="O70" s="4" t="inlineStr">
        <x:is>
          <x:t xml:space="preserve">low to moderate</x:t>
        </x:is>
      </x:c>
      <x:c r="P70" s="4" t="inlineStr">
        <x:is>
          <x:t xml:space="preserve">possible</x:t>
        </x:is>
      </x:c>
      <x:c r="Q70" s="4" t="inlineStr">
        <x:is>
          <x:t xml:space="preserve">clean visible growth, correct moisture, remove wet porous materials if extensive</x:t>
        </x:is>
      </x:c>
      <x:c r="R70" s="4" t="inlineStr">
        <x:is>
          <x:t xml:space="preserve">patchy_growth, discoloration, moisture_associated</x:t>
        </x:is>
      </x:c>
      <x:c r="S70" s="4" t="inlineStr">
        <x:is>
          <x:t xml:space="preserve">Sticky water-damage group</x:t>
        </x:is>
      </x:c>
      <x:c r="T70" s="4" t="inlineStr">
        <x:is>
          <x:t xml:space="preserve">high</x:t>
        </x:is>
      </x:c>
      <x:c r="U70" s="4" t="inlineStr">
        <x:is>
          <x:t xml:space="preserve">toxic + allergenic</x:t>
        </x:is>
      </x:c>
      <x:c r="V70" s="4" t="inlineStr">
        <x:is>
          <x:t xml:space="preserve">24-48 hrs with persistent humidity</x:t>
        </x:is>
      </x:c>
      <x:c r="W70" s="4" t="inlineStr">
        <x:is>
          <x:t xml:space="preserve">surface/bulk preferred; air may under-represent</x:t>
        </x:is>
      </x:c>
      <x:c r="X70" s="4" t="inlineStr">
        <x:is>
          <x:t xml:space="preserve">yes</x:t>
        </x:is>
      </x:c>
      <x:c r="Y70" s="4" t="inlineStr">
        <x:is>
          <x:t xml:space="preserve">white, gray, powdery, patchy</x:t>
        </x:is>
      </x:c>
      <x:c r="Z70" s="4" t="inlineStr">
        <x:is>
          <x:t xml:space="preserve">porous materials preferred; non-porous growth usually on possible via dust</x:t>
        </x:is>
      </x:c>
    </x:row>
    <x:row r="71">
      <x:c r="A71" s="4" t="inlineStr">
        <x:is>
          <x:t xml:space="preserve">Bipolaris spicifera</x:t>
        </x:is>
      </x:c>
      <x:c r="B71" s="4" t="inlineStr">
        <x:is>
          <x:t xml:space="preserve">Bipolaris</x:t>
        </x:is>
      </x:c>
      <x:c r="C71" s="4" t="inlineStr">
        <x:is>
          <x:t xml:space="preserve">Common indoor</x:t>
        </x:is>
      </x:c>
      <x:c r="D71" s="4" t="inlineStr">
        <x:is>
          <x:t xml:space="preserve">white</x:t>
        </x:is>
      </x:c>
      <x:c r="E71" s="4" t="inlineStr">
        <x:is>
          <x:t xml:space="preserve">gray</x:t>
        </x:is>
      </x:c>
      <x:c r="F71" s="4" t="inlineStr">
        <x:is>
          <x:t xml:space="preserve">powdery</x:t>
        </x:is>
      </x:c>
      <x:c r="G71" s="4" t="inlineStr">
        <x:is>
          <x:t xml:space="preserve">patchy</x:t>
        </x:is>
      </x:c>
      <x:c r="H71" s="4" t="inlineStr">
        <x:is>
          <x:t xml:space="preserve">drywall, wood, dust</x:t>
        </x:is>
      </x:c>
      <x:c r="I71" s="4" t="inlineStr">
        <x:is>
          <x:t xml:space="preserve">bathrooms, basements, HVAC, windows</x:t>
        </x:is>
      </x:c>
      <x:c r="J71" s="4" t="inlineStr">
        <x:is>
          <x:t xml:space="preserve">moderate</x:t>
        </x:is>
      </x:c>
      <x:c r="K71" s="4" t="inlineStr">
        <x:is>
          <x:t xml:space="preserve">60+</x:t>
        </x:is>
      </x:c>
      <x:c r="L71" s="4" t="inlineStr">
        <x:is>
          <x:t xml:space="preserve">15-32</x:t>
        </x:is>
      </x:c>
      <x:c r="M71" s="4" t="inlineStr">
        <x:is>
          <x:t xml:space="preserve">yes</x:t>
        </x:is>
      </x:c>
      <x:c r="N71" s="4" t="inlineStr">
        <x:is>
          <x:t xml:space="preserve">possible via dust</x:t>
        </x:is>
      </x:c>
      <x:c r="O71" s="4" t="inlineStr">
        <x:is>
          <x:t xml:space="preserve">low to moderate</x:t>
        </x:is>
      </x:c>
      <x:c r="P71" s="4" t="inlineStr">
        <x:is>
          <x:t xml:space="preserve">possible</x:t>
        </x:is>
      </x:c>
      <x:c r="Q71" s="4" t="inlineStr">
        <x:is>
          <x:t xml:space="preserve">clean visible growth, correct moisture, remove wet porous materials if extensive</x:t>
        </x:is>
      </x:c>
      <x:c r="R71" s="4" t="inlineStr">
        <x:is>
          <x:t xml:space="preserve">patchy_growth, discoloration, moisture_associated</x:t>
        </x:is>
      </x:c>
      <x:c r="S71" s="4" t="inlineStr">
        <x:is>
          <x:t xml:space="preserve">Bipolaris visual group</x:t>
        </x:is>
      </x:c>
      <x:c r="T71" s="4" t="inlineStr">
        <x:is>
          <x:t xml:space="preserve">moderate</x:t>
        </x:is>
      </x:c>
      <x:c r="U71" s="4" t="inlineStr">
        <x:is>
          <x:t xml:space="preserve">common indoor / allergen potential</x:t>
        </x:is>
      </x:c>
      <x:c r="V71" s="4" t="inlineStr">
        <x:is>
          <x:t xml:space="preserve">24-48 hrs with persistent humidity</x:t>
        </x:is>
      </x:c>
      <x:c r="W71" s="4" t="inlineStr">
        <x:is>
          <x:t xml:space="preserve">air and/or surface depending on context</x:t>
        </x:is>
      </x:c>
      <x:c r="X71" s="4" t="inlineStr">
        <x:is>
          <x:t xml:space="preserve">no</x:t>
        </x:is>
      </x:c>
      <x:c r="Y71" s="4" t="inlineStr">
        <x:is>
          <x:t xml:space="preserve">white, gray, powdery, patchy</x:t>
        </x:is>
      </x:c>
      <x:c r="Z71" s="4" t="inlineStr">
        <x:is>
          <x:t xml:space="preserve">porous materials preferred; non-porous growth usually on possible via dust</x:t>
        </x:is>
      </x:c>
    </x:row>
    <x:row r="72">
      <x:c r="A72" s="4" t="inlineStr">
        <x:is>
          <x:t xml:space="preserve">Bipolaris australiensis</x:t>
        </x:is>
      </x:c>
      <x:c r="B72" s="4" t="inlineStr">
        <x:is>
          <x:t xml:space="preserve">Bipolaris</x:t>
        </x:is>
      </x:c>
      <x:c r="C72" s="4" t="inlineStr">
        <x:is>
          <x:t xml:space="preserve">Common indoor</x:t>
        </x:is>
      </x:c>
      <x:c r="D72" s="4" t="inlineStr">
        <x:is>
          <x:t xml:space="preserve">white</x:t>
        </x:is>
      </x:c>
      <x:c r="E72" s="4" t="inlineStr">
        <x:is>
          <x:t xml:space="preserve">gray</x:t>
        </x:is>
      </x:c>
      <x:c r="F72" s="4" t="inlineStr">
        <x:is>
          <x:t xml:space="preserve">powdery</x:t>
        </x:is>
      </x:c>
      <x:c r="G72" s="4" t="inlineStr">
        <x:is>
          <x:t xml:space="preserve">patchy</x:t>
        </x:is>
      </x:c>
      <x:c r="H72" s="4" t="inlineStr">
        <x:is>
          <x:t xml:space="preserve">drywall, wood, dust</x:t>
        </x:is>
      </x:c>
      <x:c r="I72" s="4" t="inlineStr">
        <x:is>
          <x:t xml:space="preserve">bathrooms, basements, HVAC, windows</x:t>
        </x:is>
      </x:c>
      <x:c r="J72" s="4" t="inlineStr">
        <x:is>
          <x:t xml:space="preserve">moderate</x:t>
        </x:is>
      </x:c>
      <x:c r="K72" s="4" t="inlineStr">
        <x:is>
          <x:t xml:space="preserve">60+</x:t>
        </x:is>
      </x:c>
      <x:c r="L72" s="4" t="inlineStr">
        <x:is>
          <x:t xml:space="preserve">15-32</x:t>
        </x:is>
      </x:c>
      <x:c r="M72" s="4" t="inlineStr">
        <x:is>
          <x:t xml:space="preserve">yes</x:t>
        </x:is>
      </x:c>
      <x:c r="N72" s="4" t="inlineStr">
        <x:is>
          <x:t xml:space="preserve">possible via dust</x:t>
        </x:is>
      </x:c>
      <x:c r="O72" s="4" t="inlineStr">
        <x:is>
          <x:t xml:space="preserve">low to moderate</x:t>
        </x:is>
      </x:c>
      <x:c r="P72" s="4" t="inlineStr">
        <x:is>
          <x:t xml:space="preserve">possible</x:t>
        </x:is>
      </x:c>
      <x:c r="Q72" s="4" t="inlineStr">
        <x:is>
          <x:t xml:space="preserve">clean visible growth, correct moisture, remove wet porous materials if extensive</x:t>
        </x:is>
      </x:c>
      <x:c r="R72" s="4" t="inlineStr">
        <x:is>
          <x:t xml:space="preserve">patchy_growth, discoloration, moisture_associated</x:t>
        </x:is>
      </x:c>
      <x:c r="S72" s="4" t="inlineStr">
        <x:is>
          <x:t xml:space="preserve">Bipolaris visual group</x:t>
        </x:is>
      </x:c>
      <x:c r="T72" s="4" t="inlineStr">
        <x:is>
          <x:t xml:space="preserve">moderate</x:t>
        </x:is>
      </x:c>
      <x:c r="U72" s="4" t="inlineStr">
        <x:is>
          <x:t xml:space="preserve">common indoor / allergen potential</x:t>
        </x:is>
      </x:c>
      <x:c r="V72" s="4" t="inlineStr">
        <x:is>
          <x:t xml:space="preserve">24-48 hrs with persistent humidity</x:t>
        </x:is>
      </x:c>
      <x:c r="W72" s="4" t="inlineStr">
        <x:is>
          <x:t xml:space="preserve">air and/or surface depending on context</x:t>
        </x:is>
      </x:c>
      <x:c r="X72" s="4" t="inlineStr">
        <x:is>
          <x:t xml:space="preserve">no</x:t>
        </x:is>
      </x:c>
      <x:c r="Y72" s="4" t="inlineStr">
        <x:is>
          <x:t xml:space="preserve">white, gray, powdery, patchy</x:t>
        </x:is>
      </x:c>
      <x:c r="Z72" s="4" t="inlineStr">
        <x:is>
          <x:t xml:space="preserve">porous materials preferred; non-porous growth usually on possible via dust</x:t>
        </x:is>
      </x:c>
    </x:row>
    <x:row r="73">
      <x:c r="A73" s="4" t="inlineStr">
        <x:is>
          <x:t xml:space="preserve">Exophiala dermatitidis</x:t>
        </x:is>
      </x:c>
      <x:c r="B73" s="4" t="inlineStr">
        <x:is>
          <x:t xml:space="preserve">Exophiala</x:t>
        </x:is>
      </x:c>
      <x:c r="C73" s="4" t="inlineStr">
        <x:is>
          <x:t xml:space="preserve">Common indoor</x:t>
        </x:is>
      </x:c>
      <x:c r="D73" s="4" t="inlineStr">
        <x:is>
          <x:t xml:space="preserve">white</x:t>
        </x:is>
      </x:c>
      <x:c r="E73" s="4" t="inlineStr">
        <x:is>
          <x:t xml:space="preserve">gray</x:t>
        </x:is>
      </x:c>
      <x:c r="F73" s="4" t="inlineStr">
        <x:is>
          <x:t xml:space="preserve">powdery</x:t>
        </x:is>
      </x:c>
      <x:c r="G73" s="4" t="inlineStr">
        <x:is>
          <x:t xml:space="preserve">patchy</x:t>
        </x:is>
      </x:c>
      <x:c r="H73" s="4" t="inlineStr">
        <x:is>
          <x:t xml:space="preserve">drywall, wood, dust</x:t>
        </x:is>
      </x:c>
      <x:c r="I73" s="4" t="inlineStr">
        <x:is>
          <x:t xml:space="preserve">bathrooms, basements, HVAC, windows</x:t>
        </x:is>
      </x:c>
      <x:c r="J73" s="4" t="inlineStr">
        <x:is>
          <x:t xml:space="preserve">moderate</x:t>
        </x:is>
      </x:c>
      <x:c r="K73" s="4" t="inlineStr">
        <x:is>
          <x:t xml:space="preserve">60+</x:t>
        </x:is>
      </x:c>
      <x:c r="L73" s="4" t="inlineStr">
        <x:is>
          <x:t xml:space="preserve">15-32</x:t>
        </x:is>
      </x:c>
      <x:c r="M73" s="4" t="inlineStr">
        <x:is>
          <x:t xml:space="preserve">yes</x:t>
        </x:is>
      </x:c>
      <x:c r="N73" s="4" t="inlineStr">
        <x:is>
          <x:t xml:space="preserve">possible via dust</x:t>
        </x:is>
      </x:c>
      <x:c r="O73" s="4" t="inlineStr">
        <x:is>
          <x:t xml:space="preserve">low to moderate</x:t>
        </x:is>
      </x:c>
      <x:c r="P73" s="4" t="inlineStr">
        <x:is>
          <x:t xml:space="preserve">possible</x:t>
        </x:is>
      </x:c>
      <x:c r="Q73" s="4" t="inlineStr">
        <x:is>
          <x:t xml:space="preserve">clean visible growth, correct moisture, remove wet porous materials if extensive</x:t>
        </x:is>
      </x:c>
      <x:c r="R73" s="4" t="inlineStr">
        <x:is>
          <x:t xml:space="preserve">patchy_growth, discoloration, moisture_associated</x:t>
        </x:is>
      </x:c>
      <x:c r="S73" s="4" t="inlineStr">
        <x:is>
          <x:t xml:space="preserve">Exophiala visual group</x:t>
        </x:is>
      </x:c>
      <x:c r="T73" s="4" t="inlineStr">
        <x:is>
          <x:t xml:space="preserve">moderate</x:t>
        </x:is>
      </x:c>
      <x:c r="U73" s="4" t="inlineStr">
        <x:is>
          <x:t xml:space="preserve">allergenic + opportunistic infectious</x:t>
        </x:is>
      </x:c>
      <x:c r="V73" s="4" t="inlineStr">
        <x:is>
          <x:t xml:space="preserve">24-48 hrs with persistent humidity</x:t>
        </x:is>
      </x:c>
      <x:c r="W73" s="4" t="inlineStr">
        <x:is>
          <x:t xml:space="preserve">air and/or surface depending on context</x:t>
        </x:is>
      </x:c>
      <x:c r="X73" s="4" t="inlineStr">
        <x:is>
          <x:t xml:space="preserve">no</x:t>
        </x:is>
      </x:c>
      <x:c r="Y73" s="4" t="inlineStr">
        <x:is>
          <x:t xml:space="preserve">white, gray, powdery, patchy</x:t>
        </x:is>
      </x:c>
      <x:c r="Z73" s="4" t="inlineStr">
        <x:is>
          <x:t xml:space="preserve">porous materials preferred; non-porous growth usually on possible via dust</x:t>
        </x:is>
      </x:c>
    </x:row>
    <x:row r="74">
      <x:c r="A74" s="4" t="inlineStr">
        <x:is>
          <x:t xml:space="preserve">Exophiala jeanselmei</x:t>
        </x:is>
      </x:c>
      <x:c r="B74" s="4" t="inlineStr">
        <x:is>
          <x:t xml:space="preserve">Exophiala</x:t>
        </x:is>
      </x:c>
      <x:c r="C74" s="4" t="inlineStr">
        <x:is>
          <x:t xml:space="preserve">Common indoor</x:t>
        </x:is>
      </x:c>
      <x:c r="D74" s="4" t="inlineStr">
        <x:is>
          <x:t xml:space="preserve">white</x:t>
        </x:is>
      </x:c>
      <x:c r="E74" s="4" t="inlineStr">
        <x:is>
          <x:t xml:space="preserve">gray</x:t>
        </x:is>
      </x:c>
      <x:c r="F74" s="4" t="inlineStr">
        <x:is>
          <x:t xml:space="preserve">powdery</x:t>
        </x:is>
      </x:c>
      <x:c r="G74" s="4" t="inlineStr">
        <x:is>
          <x:t xml:space="preserve">patchy</x:t>
        </x:is>
      </x:c>
      <x:c r="H74" s="4" t="inlineStr">
        <x:is>
          <x:t xml:space="preserve">drywall, wood, dust</x:t>
        </x:is>
      </x:c>
      <x:c r="I74" s="4" t="inlineStr">
        <x:is>
          <x:t xml:space="preserve">bathrooms, basements, HVAC, windows</x:t>
        </x:is>
      </x:c>
      <x:c r="J74" s="4" t="inlineStr">
        <x:is>
          <x:t xml:space="preserve">moderate</x:t>
        </x:is>
      </x:c>
      <x:c r="K74" s="4" t="inlineStr">
        <x:is>
          <x:t xml:space="preserve">60+</x:t>
        </x:is>
      </x:c>
      <x:c r="L74" s="4" t="inlineStr">
        <x:is>
          <x:t xml:space="preserve">15-32</x:t>
        </x:is>
      </x:c>
      <x:c r="M74" s="4" t="inlineStr">
        <x:is>
          <x:t xml:space="preserve">yes</x:t>
        </x:is>
      </x:c>
      <x:c r="N74" s="4" t="inlineStr">
        <x:is>
          <x:t xml:space="preserve">possible via dust</x:t>
        </x:is>
      </x:c>
      <x:c r="O74" s="4" t="inlineStr">
        <x:is>
          <x:t xml:space="preserve">low to moderate</x:t>
        </x:is>
      </x:c>
      <x:c r="P74" s="4" t="inlineStr">
        <x:is>
          <x:t xml:space="preserve">possible</x:t>
        </x:is>
      </x:c>
      <x:c r="Q74" s="4" t="inlineStr">
        <x:is>
          <x:t xml:space="preserve">clean visible growth, correct moisture, remove wet porous materials if extensive</x:t>
        </x:is>
      </x:c>
      <x:c r="R74" s="4" t="inlineStr">
        <x:is>
          <x:t xml:space="preserve">patchy_growth, discoloration, moisture_associated</x:t>
        </x:is>
      </x:c>
      <x:c r="S74" s="4" t="inlineStr">
        <x:is>
          <x:t xml:space="preserve">Exophiala visual group</x:t>
        </x:is>
      </x:c>
      <x:c r="T74" s="4" t="inlineStr">
        <x:is>
          <x:t xml:space="preserve">moderate</x:t>
        </x:is>
      </x:c>
      <x:c r="U74" s="4" t="inlineStr">
        <x:is>
          <x:t xml:space="preserve">allergenic + opportunistic infectious</x:t>
        </x:is>
      </x:c>
      <x:c r="V74" s="4" t="inlineStr">
        <x:is>
          <x:t xml:space="preserve">24-48 hrs with persistent humidity</x:t>
        </x:is>
      </x:c>
      <x:c r="W74" s="4" t="inlineStr">
        <x:is>
          <x:t xml:space="preserve">air and/or surface depending on context</x:t>
        </x:is>
      </x:c>
      <x:c r="X74" s="4" t="inlineStr">
        <x:is>
          <x:t xml:space="preserve">no</x:t>
        </x:is>
      </x:c>
      <x:c r="Y74" s="4" t="inlineStr">
        <x:is>
          <x:t xml:space="preserve">white, gray, powdery, patchy</x:t>
        </x:is>
      </x:c>
      <x:c r="Z74" s="4" t="inlineStr">
        <x:is>
          <x:t xml:space="preserve">porous materials preferred; non-porous growth usually on possible via dust</x:t>
        </x:is>
      </x:c>
    </x:row>
    <x:row r="75">
      <x:c r="A75" s="4" t="inlineStr">
        <x:is>
          <x:t xml:space="preserve">Drechslera spicifera</x:t>
        </x:is>
      </x:c>
      <x:c r="B75" s="4" t="inlineStr">
        <x:is>
          <x:t xml:space="preserve">Drechslera</x:t>
        </x:is>
      </x:c>
      <x:c r="C75" s="4" t="inlineStr">
        <x:is>
          <x:t xml:space="preserve">Common indoor</x:t>
        </x:is>
      </x:c>
      <x:c r="D75" s="4" t="inlineStr">
        <x:is>
          <x:t xml:space="preserve">white</x:t>
        </x:is>
      </x:c>
      <x:c r="E75" s="4" t="inlineStr">
        <x:is>
          <x:t xml:space="preserve">gray</x:t>
        </x:is>
      </x:c>
      <x:c r="F75" s="4" t="inlineStr">
        <x:is>
          <x:t xml:space="preserve">powdery</x:t>
        </x:is>
      </x:c>
      <x:c r="G75" s="4" t="inlineStr">
        <x:is>
          <x:t xml:space="preserve">patchy</x:t>
        </x:is>
      </x:c>
      <x:c r="H75" s="4" t="inlineStr">
        <x:is>
          <x:t xml:space="preserve">drywall, wood, dust</x:t>
        </x:is>
      </x:c>
      <x:c r="I75" s="4" t="inlineStr">
        <x:is>
          <x:t xml:space="preserve">bathrooms, basements, HVAC, windows</x:t>
        </x:is>
      </x:c>
      <x:c r="J75" s="4" t="inlineStr">
        <x:is>
          <x:t xml:space="preserve">moderate</x:t>
        </x:is>
      </x:c>
      <x:c r="K75" s="4" t="inlineStr">
        <x:is>
          <x:t xml:space="preserve">60+</x:t>
        </x:is>
      </x:c>
      <x:c r="L75" s="4" t="inlineStr">
        <x:is>
          <x:t xml:space="preserve">15-32</x:t>
        </x:is>
      </x:c>
      <x:c r="M75" s="4" t="inlineStr">
        <x:is>
          <x:t xml:space="preserve">yes</x:t>
        </x:is>
      </x:c>
      <x:c r="N75" s="4" t="inlineStr">
        <x:is>
          <x:t xml:space="preserve">possible via dust</x:t>
        </x:is>
      </x:c>
      <x:c r="O75" s="4" t="inlineStr">
        <x:is>
          <x:t xml:space="preserve">low to moderate</x:t>
        </x:is>
      </x:c>
      <x:c r="P75" s="4" t="inlineStr">
        <x:is>
          <x:t xml:space="preserve">possible</x:t>
        </x:is>
      </x:c>
      <x:c r="Q75" s="4" t="inlineStr">
        <x:is>
          <x:t xml:space="preserve">clean visible growth, correct moisture, remove wet porous materials if extensive</x:t>
        </x:is>
      </x:c>
      <x:c r="R75" s="4" t="inlineStr">
        <x:is>
          <x:t xml:space="preserve">patchy_growth, discoloration, moisture_associated</x:t>
        </x:is>
      </x:c>
      <x:c r="S75" s="4" t="inlineStr">
        <x:is>
          <x:t xml:space="preserve">Drechslera visual group</x:t>
        </x:is>
      </x:c>
      <x:c r="T75" s="4" t="inlineStr">
        <x:is>
          <x:t xml:space="preserve">moderate</x:t>
        </x:is>
      </x:c>
      <x:c r="U75" s="4" t="inlineStr">
        <x:is>
          <x:t xml:space="preserve">common indoor / allergen potential</x:t>
        </x:is>
      </x:c>
      <x:c r="V75" s="4" t="inlineStr">
        <x:is>
          <x:t xml:space="preserve">24-48 hrs with persistent humidity</x:t>
        </x:is>
      </x:c>
      <x:c r="W75" s="4" t="inlineStr">
        <x:is>
          <x:t xml:space="preserve">air and/or surface depending on context</x:t>
        </x:is>
      </x:c>
      <x:c r="X75" s="4" t="inlineStr">
        <x:is>
          <x:t xml:space="preserve">no</x:t>
        </x:is>
      </x:c>
      <x:c r="Y75" s="4" t="inlineStr">
        <x:is>
          <x:t xml:space="preserve">white, gray, powdery, patchy</x:t>
        </x:is>
      </x:c>
      <x:c r="Z75" s="4" t="inlineStr">
        <x:is>
          <x:t xml:space="preserve">porous materials preferred; non-porous growth usually on possible via dust</x:t>
        </x:is>
      </x:c>
    </x:row>
    <x:row r="76">
      <x:c r="A76" s="4" t="inlineStr">
        <x:is>
          <x:t xml:space="preserve">Drechslera hawaiiensis</x:t>
        </x:is>
      </x:c>
      <x:c r="B76" s="4" t="inlineStr">
        <x:is>
          <x:t xml:space="preserve">Drechslera</x:t>
        </x:is>
      </x:c>
      <x:c r="C76" s="4" t="inlineStr">
        <x:is>
          <x:t xml:space="preserve">Common indoor</x:t>
        </x:is>
      </x:c>
      <x:c r="D76" s="4" t="inlineStr">
        <x:is>
          <x:t xml:space="preserve">white</x:t>
        </x:is>
      </x:c>
      <x:c r="E76" s="4" t="inlineStr">
        <x:is>
          <x:t xml:space="preserve">gray</x:t>
        </x:is>
      </x:c>
      <x:c r="F76" s="4" t="inlineStr">
        <x:is>
          <x:t xml:space="preserve">powdery</x:t>
        </x:is>
      </x:c>
      <x:c r="G76" s="4" t="inlineStr">
        <x:is>
          <x:t xml:space="preserve">patchy</x:t>
        </x:is>
      </x:c>
      <x:c r="H76" s="4" t="inlineStr">
        <x:is>
          <x:t xml:space="preserve">drywall, wood, dust</x:t>
        </x:is>
      </x:c>
      <x:c r="I76" s="4" t="inlineStr">
        <x:is>
          <x:t xml:space="preserve">bathrooms, basements, HVAC, windows</x:t>
        </x:is>
      </x:c>
      <x:c r="J76" s="4" t="inlineStr">
        <x:is>
          <x:t xml:space="preserve">moderate</x:t>
        </x:is>
      </x:c>
      <x:c r="K76" s="4" t="inlineStr">
        <x:is>
          <x:t xml:space="preserve">60+</x:t>
        </x:is>
      </x:c>
      <x:c r="L76" s="4" t="inlineStr">
        <x:is>
          <x:t xml:space="preserve">15-32</x:t>
        </x:is>
      </x:c>
      <x:c r="M76" s="4" t="inlineStr">
        <x:is>
          <x:t xml:space="preserve">yes</x:t>
        </x:is>
      </x:c>
      <x:c r="N76" s="4" t="inlineStr">
        <x:is>
          <x:t xml:space="preserve">possible via dust</x:t>
        </x:is>
      </x:c>
      <x:c r="O76" s="4" t="inlineStr">
        <x:is>
          <x:t xml:space="preserve">low to moderate</x:t>
        </x:is>
      </x:c>
      <x:c r="P76" s="4" t="inlineStr">
        <x:is>
          <x:t xml:space="preserve">possible</x:t>
        </x:is>
      </x:c>
      <x:c r="Q76" s="4" t="inlineStr">
        <x:is>
          <x:t xml:space="preserve">clean visible growth, correct moisture, remove wet porous materials if extensive</x:t>
        </x:is>
      </x:c>
      <x:c r="R76" s="4" t="inlineStr">
        <x:is>
          <x:t xml:space="preserve">patchy_growth, discoloration, moisture_associated</x:t>
        </x:is>
      </x:c>
      <x:c r="S76" s="4" t="inlineStr">
        <x:is>
          <x:t xml:space="preserve">Drechslera visual group</x:t>
        </x:is>
      </x:c>
      <x:c r="T76" s="4" t="inlineStr">
        <x:is>
          <x:t xml:space="preserve">moderate</x:t>
        </x:is>
      </x:c>
      <x:c r="U76" s="4" t="inlineStr">
        <x:is>
          <x:t xml:space="preserve">common indoor / allergen potential</x:t>
        </x:is>
      </x:c>
      <x:c r="V76" s="4" t="inlineStr">
        <x:is>
          <x:t xml:space="preserve">24-48 hrs with persistent humidity</x:t>
        </x:is>
      </x:c>
      <x:c r="W76" s="4" t="inlineStr">
        <x:is>
          <x:t xml:space="preserve">air and/or surface depending on context</x:t>
        </x:is>
      </x:c>
      <x:c r="X76" s="4" t="inlineStr">
        <x:is>
          <x:t xml:space="preserve">no</x:t>
        </x:is>
      </x:c>
      <x:c r="Y76" s="4" t="inlineStr">
        <x:is>
          <x:t xml:space="preserve">white, gray, powdery, patchy</x:t>
        </x:is>
      </x:c>
      <x:c r="Z76" s="4" t="inlineStr">
        <x:is>
          <x:t xml:space="preserve">porous materials preferred; non-porous growth usually on possible via dust</x:t>
        </x:is>
      </x:c>
    </x:row>
    <x:row r="77">
      <x:c r="A77" s="4" t="inlineStr">
        <x:is>
          <x:t xml:space="preserve">Botrytis cinerea</x:t>
        </x:is>
      </x:c>
      <x:c r="B77" s="4" t="inlineStr">
        <x:is>
          <x:t xml:space="preserve">Botrytis</x:t>
        </x:is>
      </x:c>
      <x:c r="C77" s="4" t="inlineStr">
        <x:is>
          <x:t xml:space="preserve">Common indoor</x:t>
        </x:is>
      </x:c>
      <x:c r="D77" s="4" t="inlineStr">
        <x:is>
          <x:t xml:space="preserve">white</x:t>
        </x:is>
      </x:c>
      <x:c r="E77" s="4" t="inlineStr">
        <x:is>
          <x:t xml:space="preserve">gray</x:t>
        </x:is>
      </x:c>
      <x:c r="F77" s="4" t="inlineStr">
        <x:is>
          <x:t xml:space="preserve">powdery</x:t>
        </x:is>
      </x:c>
      <x:c r="G77" s="4" t="inlineStr">
        <x:is>
          <x:t xml:space="preserve">patchy</x:t>
        </x:is>
      </x:c>
      <x:c r="H77" s="4" t="inlineStr">
        <x:is>
          <x:t xml:space="preserve">drywall, wood, dust</x:t>
        </x:is>
      </x:c>
      <x:c r="I77" s="4" t="inlineStr">
        <x:is>
          <x:t xml:space="preserve">bathrooms, basements, HVAC, windows</x:t>
        </x:is>
      </x:c>
      <x:c r="J77" s="4" t="inlineStr">
        <x:is>
          <x:t xml:space="preserve">moderate</x:t>
        </x:is>
      </x:c>
      <x:c r="K77" s="4" t="inlineStr">
        <x:is>
          <x:t xml:space="preserve">60+</x:t>
        </x:is>
      </x:c>
      <x:c r="L77" s="4" t="inlineStr">
        <x:is>
          <x:t xml:space="preserve">15-32</x:t>
        </x:is>
      </x:c>
      <x:c r="M77" s="4" t="inlineStr">
        <x:is>
          <x:t xml:space="preserve">yes</x:t>
        </x:is>
      </x:c>
      <x:c r="N77" s="4" t="inlineStr">
        <x:is>
          <x:t xml:space="preserve">possible via dust</x:t>
        </x:is>
      </x:c>
      <x:c r="O77" s="4" t="inlineStr">
        <x:is>
          <x:t xml:space="preserve">low to moderate</x:t>
        </x:is>
      </x:c>
      <x:c r="P77" s="4" t="inlineStr">
        <x:is>
          <x:t xml:space="preserve">possible</x:t>
        </x:is>
      </x:c>
      <x:c r="Q77" s="4" t="inlineStr">
        <x:is>
          <x:t xml:space="preserve">clean visible growth, correct moisture, remove wet porous materials if extensive</x:t>
        </x:is>
      </x:c>
      <x:c r="R77" s="4" t="inlineStr">
        <x:is>
          <x:t xml:space="preserve">patchy_growth, discoloration, moisture_associated</x:t>
        </x:is>
      </x:c>
      <x:c r="S77" s="4" t="inlineStr">
        <x:is>
          <x:t xml:space="preserve">Botrytis visual group</x:t>
        </x:is>
      </x:c>
      <x:c r="T77" s="4" t="inlineStr">
        <x:is>
          <x:t xml:space="preserve">moderate</x:t>
        </x:is>
      </x:c>
      <x:c r="U77" s="4" t="inlineStr">
        <x:is>
          <x:t xml:space="preserve">common indoor / allergen potential</x:t>
        </x:is>
      </x:c>
      <x:c r="V77" s="4" t="inlineStr">
        <x:is>
          <x:t xml:space="preserve">24-48 hrs with persistent humidity</x:t>
        </x:is>
      </x:c>
      <x:c r="W77" s="4" t="inlineStr">
        <x:is>
          <x:t xml:space="preserve">air and/or surface depending on context</x:t>
        </x:is>
      </x:c>
      <x:c r="X77" s="4" t="inlineStr">
        <x:is>
          <x:t xml:space="preserve">no</x:t>
        </x:is>
      </x:c>
      <x:c r="Y77" s="4" t="inlineStr">
        <x:is>
          <x:t xml:space="preserve">white, gray, powdery, patchy</x:t>
        </x:is>
      </x:c>
      <x:c r="Z77" s="4" t="inlineStr">
        <x:is>
          <x:t xml:space="preserve">porous materials preferred; non-porous growth usually on possible via dust</x:t>
        </x:is>
      </x:c>
    </x:row>
    <x:row r="78">
      <x:c r="A78" s="4" t="inlineStr">
        <x:is>
          <x:t xml:space="preserve">Geotrichum candidum</x:t>
        </x:is>
      </x:c>
      <x:c r="B78" s="4" t="inlineStr">
        <x:is>
          <x:t xml:space="preserve">Geotrichum</x:t>
        </x:is>
      </x:c>
      <x:c r="C78" s="4" t="inlineStr">
        <x:is>
          <x:t xml:space="preserve">Common indoor</x:t>
        </x:is>
      </x:c>
      <x:c r="D78" s="4" t="inlineStr">
        <x:is>
          <x:t xml:space="preserve">white</x:t>
        </x:is>
      </x:c>
      <x:c r="E78" s="4" t="inlineStr">
        <x:is>
          <x:t xml:space="preserve">gray</x:t>
        </x:is>
      </x:c>
      <x:c r="F78" s="4" t="inlineStr">
        <x:is>
          <x:t xml:space="preserve">powdery</x:t>
        </x:is>
      </x:c>
      <x:c r="G78" s="4" t="inlineStr">
        <x:is>
          <x:t xml:space="preserve">patchy</x:t>
        </x:is>
      </x:c>
      <x:c r="H78" s="4" t="inlineStr">
        <x:is>
          <x:t xml:space="preserve">drywall, wood, dust</x:t>
        </x:is>
      </x:c>
      <x:c r="I78" s="4" t="inlineStr">
        <x:is>
          <x:t xml:space="preserve">bathrooms, basements, HVAC, windows</x:t>
        </x:is>
      </x:c>
      <x:c r="J78" s="4" t="inlineStr">
        <x:is>
          <x:t xml:space="preserve">moderate</x:t>
        </x:is>
      </x:c>
      <x:c r="K78" s="4" t="inlineStr">
        <x:is>
          <x:t xml:space="preserve">60+</x:t>
        </x:is>
      </x:c>
      <x:c r="L78" s="4" t="inlineStr">
        <x:is>
          <x:t xml:space="preserve">15-32</x:t>
        </x:is>
      </x:c>
      <x:c r="M78" s="4" t="inlineStr">
        <x:is>
          <x:t xml:space="preserve">yes</x:t>
        </x:is>
      </x:c>
      <x:c r="N78" s="4" t="inlineStr">
        <x:is>
          <x:t xml:space="preserve">possible via dust</x:t>
        </x:is>
      </x:c>
      <x:c r="O78" s="4" t="inlineStr">
        <x:is>
          <x:t xml:space="preserve">low to moderate</x:t>
        </x:is>
      </x:c>
      <x:c r="P78" s="4" t="inlineStr">
        <x:is>
          <x:t xml:space="preserve">possible</x:t>
        </x:is>
      </x:c>
      <x:c r="Q78" s="4" t="inlineStr">
        <x:is>
          <x:t xml:space="preserve">clean visible growth, correct moisture, remove wet porous materials if extensive</x:t>
        </x:is>
      </x:c>
      <x:c r="R78" s="4" t="inlineStr">
        <x:is>
          <x:t xml:space="preserve">patchy_growth, discoloration, moisture_associated</x:t>
        </x:is>
      </x:c>
      <x:c r="S78" s="4" t="inlineStr">
        <x:is>
          <x:t xml:space="preserve">Geotrichum visual group</x:t>
        </x:is>
      </x:c>
      <x:c r="T78" s="4" t="inlineStr">
        <x:is>
          <x:t xml:space="preserve">moderate</x:t>
        </x:is>
      </x:c>
      <x:c r="U78" s="4" t="inlineStr">
        <x:is>
          <x:t xml:space="preserve">common indoor / allergen potential</x:t>
        </x:is>
      </x:c>
      <x:c r="V78" s="4" t="inlineStr">
        <x:is>
          <x:t xml:space="preserve">24-48 hrs with persistent humidity</x:t>
        </x:is>
      </x:c>
      <x:c r="W78" s="4" t="inlineStr">
        <x:is>
          <x:t xml:space="preserve">air and/or surface depending on context</x:t>
        </x:is>
      </x:c>
      <x:c r="X78" s="4" t="inlineStr">
        <x:is>
          <x:t xml:space="preserve">no</x:t>
        </x:is>
      </x:c>
      <x:c r="Y78" s="4" t="inlineStr">
        <x:is>
          <x:t xml:space="preserve">white, gray, powdery, patchy</x:t>
        </x:is>
      </x:c>
      <x:c r="Z78" s="4" t="inlineStr">
        <x:is>
          <x:t xml:space="preserve">porous materials preferred; non-porous growth usually on possible via dust</x:t>
        </x:is>
      </x:c>
    </x:row>
    <x:row r="79">
      <x:c r="A79" s="4" t="inlineStr">
        <x:is>
          <x:t xml:space="preserve">Oidiodendron griseum</x:t>
        </x:is>
      </x:c>
      <x:c r="B79" s="4" t="inlineStr">
        <x:is>
          <x:t xml:space="preserve">Oidiodendron</x:t>
        </x:is>
      </x:c>
      <x:c r="C79" s="4" t="inlineStr">
        <x:is>
          <x:t xml:space="preserve">Common indoor</x:t>
        </x:is>
      </x:c>
      <x:c r="D79" s="4" t="inlineStr">
        <x:is>
          <x:t xml:space="preserve">white</x:t>
        </x:is>
      </x:c>
      <x:c r="E79" s="4" t="inlineStr">
        <x:is>
          <x:t xml:space="preserve">gray</x:t>
        </x:is>
      </x:c>
      <x:c r="F79" s="4" t="inlineStr">
        <x:is>
          <x:t xml:space="preserve">powdery</x:t>
        </x:is>
      </x:c>
      <x:c r="G79" s="4" t="inlineStr">
        <x:is>
          <x:t xml:space="preserve">patchy</x:t>
        </x:is>
      </x:c>
      <x:c r="H79" s="4" t="inlineStr">
        <x:is>
          <x:t xml:space="preserve">drywall, wood, dust</x:t>
        </x:is>
      </x:c>
      <x:c r="I79" s="4" t="inlineStr">
        <x:is>
          <x:t xml:space="preserve">bathrooms, basements, HVAC, windows</x:t>
        </x:is>
      </x:c>
      <x:c r="J79" s="4" t="inlineStr">
        <x:is>
          <x:t xml:space="preserve">moderate</x:t>
        </x:is>
      </x:c>
      <x:c r="K79" s="4" t="inlineStr">
        <x:is>
          <x:t xml:space="preserve">60+</x:t>
        </x:is>
      </x:c>
      <x:c r="L79" s="4" t="inlineStr">
        <x:is>
          <x:t xml:space="preserve">15-32</x:t>
        </x:is>
      </x:c>
      <x:c r="M79" s="4" t="inlineStr">
        <x:is>
          <x:t xml:space="preserve">yes</x:t>
        </x:is>
      </x:c>
      <x:c r="N79" s="4" t="inlineStr">
        <x:is>
          <x:t xml:space="preserve">possible via dust</x:t>
        </x:is>
      </x:c>
      <x:c r="O79" s="4" t="inlineStr">
        <x:is>
          <x:t xml:space="preserve">low to moderate</x:t>
        </x:is>
      </x:c>
      <x:c r="P79" s="4" t="inlineStr">
        <x:is>
          <x:t xml:space="preserve">possible</x:t>
        </x:is>
      </x:c>
      <x:c r="Q79" s="4" t="inlineStr">
        <x:is>
          <x:t xml:space="preserve">clean visible growth, correct moisture, remove wet porous materials if extensive</x:t>
        </x:is>
      </x:c>
      <x:c r="R79" s="4" t="inlineStr">
        <x:is>
          <x:t xml:space="preserve">patchy_growth, discoloration, moisture_associated</x:t>
        </x:is>
      </x:c>
      <x:c r="S79" s="4" t="inlineStr">
        <x:is>
          <x:t xml:space="preserve">Oidiodendron visual group</x:t>
        </x:is>
      </x:c>
      <x:c r="T79" s="4" t="inlineStr">
        <x:is>
          <x:t xml:space="preserve">moderate</x:t>
        </x:is>
      </x:c>
      <x:c r="U79" s="4" t="inlineStr">
        <x:is>
          <x:t xml:space="preserve">common indoor / allergen potential</x:t>
        </x:is>
      </x:c>
      <x:c r="V79" s="4" t="inlineStr">
        <x:is>
          <x:t xml:space="preserve">24-48 hrs with persistent humidity</x:t>
        </x:is>
      </x:c>
      <x:c r="W79" s="4" t="inlineStr">
        <x:is>
          <x:t xml:space="preserve">air and/or surface depending on context</x:t>
        </x:is>
      </x:c>
      <x:c r="X79" s="4" t="inlineStr">
        <x:is>
          <x:t xml:space="preserve">no</x:t>
        </x:is>
      </x:c>
      <x:c r="Y79" s="4" t="inlineStr">
        <x:is>
          <x:t xml:space="preserve">white, gray, powdery, patchy</x:t>
        </x:is>
      </x:c>
      <x:c r="Z79" s="4" t="inlineStr">
        <x:is>
          <x:t xml:space="preserve">porous materials preferred; non-porous growth usually on possible via dust</x:t>
        </x:is>
      </x:c>
    </x:row>
    <x:row r="80">
      <x:c r="A80" s="4" t="inlineStr">
        <x:is>
          <x:t xml:space="preserve">Myrothecium verrucaria</x:t>
        </x:is>
      </x:c>
      <x:c r="B80" s="4" t="inlineStr">
        <x:is>
          <x:t xml:space="preserve">Myrothecium</x:t>
        </x:is>
      </x:c>
      <x:c r="C80" s="4" t="inlineStr">
        <x:is>
          <x:t xml:space="preserve">Common indoor</x:t>
        </x:is>
      </x:c>
      <x:c r="D80" s="4" t="inlineStr">
        <x:is>
          <x:t xml:space="preserve">white</x:t>
        </x:is>
      </x:c>
      <x:c r="E80" s="4" t="inlineStr">
        <x:is>
          <x:t xml:space="preserve">gray</x:t>
        </x:is>
      </x:c>
      <x:c r="F80" s="4" t="inlineStr">
        <x:is>
          <x:t xml:space="preserve">powdery</x:t>
        </x:is>
      </x:c>
      <x:c r="G80" s="4" t="inlineStr">
        <x:is>
          <x:t xml:space="preserve">patchy</x:t>
        </x:is>
      </x:c>
      <x:c r="H80" s="4" t="inlineStr">
        <x:is>
          <x:t xml:space="preserve">drywall, wood, dust</x:t>
        </x:is>
      </x:c>
      <x:c r="I80" s="4" t="inlineStr">
        <x:is>
          <x:t xml:space="preserve">bathrooms, basements, HVAC, windows</x:t>
        </x:is>
      </x:c>
      <x:c r="J80" s="4" t="inlineStr">
        <x:is>
          <x:t xml:space="preserve">moderate</x:t>
        </x:is>
      </x:c>
      <x:c r="K80" s="4" t="inlineStr">
        <x:is>
          <x:t xml:space="preserve">60+</x:t>
        </x:is>
      </x:c>
      <x:c r="L80" s="4" t="inlineStr">
        <x:is>
          <x:t xml:space="preserve">15-32</x:t>
        </x:is>
      </x:c>
      <x:c r="M80" s="4" t="inlineStr">
        <x:is>
          <x:t xml:space="preserve">yes</x:t>
        </x:is>
      </x:c>
      <x:c r="N80" s="4" t="inlineStr">
        <x:is>
          <x:t xml:space="preserve">possible via dust</x:t>
        </x:is>
      </x:c>
      <x:c r="O80" s="4" t="inlineStr">
        <x:is>
          <x:t xml:space="preserve">low to moderate</x:t>
        </x:is>
      </x:c>
      <x:c r="P80" s="4" t="inlineStr">
        <x:is>
          <x:t xml:space="preserve">possible</x:t>
        </x:is>
      </x:c>
      <x:c r="Q80" s="4" t="inlineStr">
        <x:is>
          <x:t xml:space="preserve">clean visible growth, correct moisture, remove wet porous materials if extensive</x:t>
        </x:is>
      </x:c>
      <x:c r="R80" s="4" t="inlineStr">
        <x:is>
          <x:t xml:space="preserve">patchy_growth, discoloration, moisture_associated</x:t>
        </x:is>
      </x:c>
      <x:c r="S80" s="4" t="inlineStr">
        <x:is>
          <x:t xml:space="preserve">Myrothecium visual group</x:t>
        </x:is>
      </x:c>
      <x:c r="T80" s="4" t="inlineStr">
        <x:is>
          <x:t xml:space="preserve">moderate</x:t>
        </x:is>
      </x:c>
      <x:c r="U80" s="4" t="inlineStr">
        <x:is>
          <x:t xml:space="preserve">common indoor / allergen potential</x:t>
        </x:is>
      </x:c>
      <x:c r="V80" s="4" t="inlineStr">
        <x:is>
          <x:t xml:space="preserve">24-48 hrs with persistent humidity</x:t>
        </x:is>
      </x:c>
      <x:c r="W80" s="4" t="inlineStr">
        <x:is>
          <x:t xml:space="preserve">air and/or surface depending on context</x:t>
        </x:is>
      </x:c>
      <x:c r="X80" s="4" t="inlineStr">
        <x:is>
          <x:t xml:space="preserve">no</x:t>
        </x:is>
      </x:c>
      <x:c r="Y80" s="4" t="inlineStr">
        <x:is>
          <x:t xml:space="preserve">white, gray, powdery, patchy</x:t>
        </x:is>
      </x:c>
      <x:c r="Z80" s="4" t="inlineStr">
        <x:is>
          <x:t xml:space="preserve">porous materials preferred; non-porous growth usually on possible via dust</x:t>
        </x:is>
      </x:c>
    </x:row>
    <x:row r="81">
      <x:c r="A81" s="4" t="inlineStr">
        <x:is>
          <x:t xml:space="preserve">Scedosporium apiospermum</x:t>
        </x:is>
      </x:c>
      <x:c r="B81" s="4" t="inlineStr">
        <x:is>
          <x:t xml:space="preserve">Scedosporium</x:t>
        </x:is>
      </x:c>
      <x:c r="C81" s="4" t="inlineStr">
        <x:is>
          <x:t xml:space="preserve">Common indoor</x:t>
        </x:is>
      </x:c>
      <x:c r="D81" s="4" t="inlineStr">
        <x:is>
          <x:t xml:space="preserve">white</x:t>
        </x:is>
      </x:c>
      <x:c r="E81" s="4" t="inlineStr">
        <x:is>
          <x:t xml:space="preserve">gray</x:t>
        </x:is>
      </x:c>
      <x:c r="F81" s="4" t="inlineStr">
        <x:is>
          <x:t xml:space="preserve">powdery</x:t>
        </x:is>
      </x:c>
      <x:c r="G81" s="4" t="inlineStr">
        <x:is>
          <x:t xml:space="preserve">patchy</x:t>
        </x:is>
      </x:c>
      <x:c r="H81" s="4" t="inlineStr">
        <x:is>
          <x:t xml:space="preserve">drywall, wood, dust</x:t>
        </x:is>
      </x:c>
      <x:c r="I81" s="4" t="inlineStr">
        <x:is>
          <x:t xml:space="preserve">bathrooms, basements, HVAC, windows</x:t>
        </x:is>
      </x:c>
      <x:c r="J81" s="4" t="inlineStr">
        <x:is>
          <x:t xml:space="preserve">moderate</x:t>
        </x:is>
      </x:c>
      <x:c r="K81" s="4" t="inlineStr">
        <x:is>
          <x:t xml:space="preserve">60+</x:t>
        </x:is>
      </x:c>
      <x:c r="L81" s="4" t="inlineStr">
        <x:is>
          <x:t xml:space="preserve">15-32</x:t>
        </x:is>
      </x:c>
      <x:c r="M81" s="4" t="inlineStr">
        <x:is>
          <x:t xml:space="preserve">yes</x:t>
        </x:is>
      </x:c>
      <x:c r="N81" s="4" t="inlineStr">
        <x:is>
          <x:t xml:space="preserve">possible via dust</x:t>
        </x:is>
      </x:c>
      <x:c r="O81" s="4" t="inlineStr">
        <x:is>
          <x:t xml:space="preserve">low to moderate</x:t>
        </x:is>
      </x:c>
      <x:c r="P81" s="4" t="inlineStr">
        <x:is>
          <x:t xml:space="preserve">possible</x:t>
        </x:is>
      </x:c>
      <x:c r="Q81" s="4" t="inlineStr">
        <x:is>
          <x:t xml:space="preserve">clean visible growth, correct moisture, remove wet porous materials if extensive</x:t>
        </x:is>
      </x:c>
      <x:c r="R81" s="4" t="inlineStr">
        <x:is>
          <x:t xml:space="preserve">patchy_growth, discoloration, moisture_associated</x:t>
        </x:is>
      </x:c>
      <x:c r="S81" s="4" t="inlineStr">
        <x:is>
          <x:t xml:space="preserve">Scedosporium visual group</x:t>
        </x:is>
      </x:c>
      <x:c r="T81" s="4" t="inlineStr">
        <x:is>
          <x:t xml:space="preserve">moderate</x:t>
        </x:is>
      </x:c>
      <x:c r="U81" s="4" t="inlineStr">
        <x:is>
          <x:t xml:space="preserve">common indoor / allergen potential</x:t>
        </x:is>
      </x:c>
      <x:c r="V81" s="4" t="inlineStr">
        <x:is>
          <x:t xml:space="preserve">24-48 hrs with persistent humidity</x:t>
        </x:is>
      </x:c>
      <x:c r="W81" s="4" t="inlineStr">
        <x:is>
          <x:t xml:space="preserve">air and/or surface depending on context</x:t>
        </x:is>
      </x:c>
      <x:c r="X81" s="4" t="inlineStr">
        <x:is>
          <x:t xml:space="preserve">no</x:t>
        </x:is>
      </x:c>
      <x:c r="Y81" s="4" t="inlineStr">
        <x:is>
          <x:t xml:space="preserve">white, gray, powdery, patchy</x:t>
        </x:is>
      </x:c>
      <x:c r="Z81" s="4" t="inlineStr">
        <x:is>
          <x:t xml:space="preserve">porous materials preferred; non-porous growth usually on possible via dust</x:t>
        </x:is>
      </x:c>
    </x:row>
    <x:row r="82">
      <x:c r="A82" s="4" t="inlineStr">
        <x:is>
          <x:t xml:space="preserve">Syncephalastrum racemosum</x:t>
        </x:is>
      </x:c>
      <x:c r="B82" s="4" t="inlineStr">
        <x:is>
          <x:t xml:space="preserve">Syncephalastrum</x:t>
        </x:is>
      </x:c>
      <x:c r="C82" s="4" t="inlineStr">
        <x:is>
          <x:t xml:space="preserve">Common indoor</x:t>
        </x:is>
      </x:c>
      <x:c r="D82" s="4" t="inlineStr">
        <x:is>
          <x:t xml:space="preserve">white</x:t>
        </x:is>
      </x:c>
      <x:c r="E82" s="4" t="inlineStr">
        <x:is>
          <x:t xml:space="preserve">gray</x:t>
        </x:is>
      </x:c>
      <x:c r="F82" s="4" t="inlineStr">
        <x:is>
          <x:t xml:space="preserve">powdery</x:t>
        </x:is>
      </x:c>
      <x:c r="G82" s="4" t="inlineStr">
        <x:is>
          <x:t xml:space="preserve">patchy</x:t>
        </x:is>
      </x:c>
      <x:c r="H82" s="4" t="inlineStr">
        <x:is>
          <x:t xml:space="preserve">drywall, wood, dust</x:t>
        </x:is>
      </x:c>
      <x:c r="I82" s="4" t="inlineStr">
        <x:is>
          <x:t xml:space="preserve">bathrooms, basements, HVAC, windows</x:t>
        </x:is>
      </x:c>
      <x:c r="J82" s="4" t="inlineStr">
        <x:is>
          <x:t xml:space="preserve">moderate</x:t>
        </x:is>
      </x:c>
      <x:c r="K82" s="4" t="inlineStr">
        <x:is>
          <x:t xml:space="preserve">60+</x:t>
        </x:is>
      </x:c>
      <x:c r="L82" s="4" t="inlineStr">
        <x:is>
          <x:t xml:space="preserve">15-32</x:t>
        </x:is>
      </x:c>
      <x:c r="M82" s="4" t="inlineStr">
        <x:is>
          <x:t xml:space="preserve">yes</x:t>
        </x:is>
      </x:c>
      <x:c r="N82" s="4" t="inlineStr">
        <x:is>
          <x:t xml:space="preserve">possible via dust</x:t>
        </x:is>
      </x:c>
      <x:c r="O82" s="4" t="inlineStr">
        <x:is>
          <x:t xml:space="preserve">low to moderate</x:t>
        </x:is>
      </x:c>
      <x:c r="P82" s="4" t="inlineStr">
        <x:is>
          <x:t xml:space="preserve">possible</x:t>
        </x:is>
      </x:c>
      <x:c r="Q82" s="4" t="inlineStr">
        <x:is>
          <x:t xml:space="preserve">clean visible growth, correct moisture, remove wet porous materials if extensive</x:t>
        </x:is>
      </x:c>
      <x:c r="R82" s="4" t="inlineStr">
        <x:is>
          <x:t xml:space="preserve">patchy_growth, discoloration, moisture_associated</x:t>
        </x:is>
      </x:c>
      <x:c r="S82" s="4" t="inlineStr">
        <x:is>
          <x:t xml:space="preserve">Zygomycete-like fast-growth group</x:t>
        </x:is>
      </x:c>
      <x:c r="T82" s="4" t="inlineStr">
        <x:is>
          <x:t xml:space="preserve">moderate</x:t>
        </x:is>
      </x:c>
      <x:c r="U82" s="4" t="inlineStr">
        <x:is>
          <x:t xml:space="preserve">common indoor / allergen potential</x:t>
        </x:is>
      </x:c>
      <x:c r="V82" s="4" t="inlineStr">
        <x:is>
          <x:t xml:space="preserve">24-48 hrs with persistent humidity</x:t>
        </x:is>
      </x:c>
      <x:c r="W82" s="4" t="inlineStr">
        <x:is>
          <x:t xml:space="preserve">air and/or surface depending on context</x:t>
        </x:is>
      </x:c>
      <x:c r="X82" s="4" t="inlineStr">
        <x:is>
          <x:t xml:space="preserve">no</x:t>
        </x:is>
      </x:c>
      <x:c r="Y82" s="4" t="inlineStr">
        <x:is>
          <x:t xml:space="preserve">white, gray, powdery, patchy</x:t>
        </x:is>
      </x:c>
      <x:c r="Z82" s="4" t="inlineStr">
        <x:is>
          <x:t xml:space="preserve">porous materials preferred; non-porous growth usually on possible via dust</x:t>
        </x:is>
      </x:c>
    </x:row>
    <x:row r="83">
      <x:c r="A83" s="4" t="inlineStr">
        <x:is>
          <x:t xml:space="preserve">Torula herbarum</x:t>
        </x:is>
      </x:c>
      <x:c r="B83" s="4" t="inlineStr">
        <x:is>
          <x:t xml:space="preserve">Torula</x:t>
        </x:is>
      </x:c>
      <x:c r="C83" s="4" t="inlineStr">
        <x:is>
          <x:t xml:space="preserve">Common indoor</x:t>
        </x:is>
      </x:c>
      <x:c r="D83" s="4" t="inlineStr">
        <x:is>
          <x:t xml:space="preserve">white</x:t>
        </x:is>
      </x:c>
      <x:c r="E83" s="4" t="inlineStr">
        <x:is>
          <x:t xml:space="preserve">gray</x:t>
        </x:is>
      </x:c>
      <x:c r="F83" s="4" t="inlineStr">
        <x:is>
          <x:t xml:space="preserve">powdery</x:t>
        </x:is>
      </x:c>
      <x:c r="G83" s="4" t="inlineStr">
        <x:is>
          <x:t xml:space="preserve">patchy</x:t>
        </x:is>
      </x:c>
      <x:c r="H83" s="4" t="inlineStr">
        <x:is>
          <x:t xml:space="preserve">drywall, wood, dust</x:t>
        </x:is>
      </x:c>
      <x:c r="I83" s="4" t="inlineStr">
        <x:is>
          <x:t xml:space="preserve">bathrooms, basements, HVAC, windows</x:t>
        </x:is>
      </x:c>
      <x:c r="J83" s="4" t="inlineStr">
        <x:is>
          <x:t xml:space="preserve">moderate</x:t>
        </x:is>
      </x:c>
      <x:c r="K83" s="4" t="inlineStr">
        <x:is>
          <x:t xml:space="preserve">60+</x:t>
        </x:is>
      </x:c>
      <x:c r="L83" s="4" t="inlineStr">
        <x:is>
          <x:t xml:space="preserve">15-32</x:t>
        </x:is>
      </x:c>
      <x:c r="M83" s="4" t="inlineStr">
        <x:is>
          <x:t xml:space="preserve">yes</x:t>
        </x:is>
      </x:c>
      <x:c r="N83" s="4" t="inlineStr">
        <x:is>
          <x:t xml:space="preserve">possible via dust</x:t>
        </x:is>
      </x:c>
      <x:c r="O83" s="4" t="inlineStr">
        <x:is>
          <x:t xml:space="preserve">low to moderate</x:t>
        </x:is>
      </x:c>
      <x:c r="P83" s="4" t="inlineStr">
        <x:is>
          <x:t xml:space="preserve">possible</x:t>
        </x:is>
      </x:c>
      <x:c r="Q83" s="4" t="inlineStr">
        <x:is>
          <x:t xml:space="preserve">clean visible growth, correct moisture, remove wet porous materials if extensive</x:t>
        </x:is>
      </x:c>
      <x:c r="R83" s="4" t="inlineStr">
        <x:is>
          <x:t xml:space="preserve">patchy_growth, discoloration, moisture_associated</x:t>
        </x:is>
      </x:c>
      <x:c r="S83" s="4" t="inlineStr">
        <x:is>
          <x:t xml:space="preserve">Torula visual group</x:t>
        </x:is>
      </x:c>
      <x:c r="T83" s="4" t="inlineStr">
        <x:is>
          <x:t xml:space="preserve">moderate</x:t>
        </x:is>
      </x:c>
      <x:c r="U83" s="4" t="inlineStr">
        <x:is>
          <x:t xml:space="preserve">common indoor / allergen potential</x:t>
        </x:is>
      </x:c>
      <x:c r="V83" s="4" t="inlineStr">
        <x:is>
          <x:t xml:space="preserve">24-48 hrs with persistent humidity</x:t>
        </x:is>
      </x:c>
      <x:c r="W83" s="4" t="inlineStr">
        <x:is>
          <x:t xml:space="preserve">air and/or surface depending on context</x:t>
        </x:is>
      </x:c>
      <x:c r="X83" s="4" t="inlineStr">
        <x:is>
          <x:t xml:space="preserve">no</x:t>
        </x:is>
      </x:c>
      <x:c r="Y83" s="4" t="inlineStr">
        <x:is>
          <x:t xml:space="preserve">white, gray, powdery, patchy</x:t>
        </x:is>
      </x:c>
      <x:c r="Z83" s="4" t="inlineStr">
        <x:is>
          <x:t xml:space="preserve">porous materials preferred; non-porous growth usually on possible via dust</x:t>
        </x:is>
      </x:c>
    </x:row>
    <x:row r="84">
      <x:c r="A84" s="4" t="inlineStr">
        <x:is>
          <x:t xml:space="preserve">Verticillium dahliae</x:t>
        </x:is>
      </x:c>
      <x:c r="B84" s="4" t="inlineStr">
        <x:is>
          <x:t xml:space="preserve">Verticillium</x:t>
        </x:is>
      </x:c>
      <x:c r="C84" s="4" t="inlineStr">
        <x:is>
          <x:t xml:space="preserve">Common indoor</x:t>
        </x:is>
      </x:c>
      <x:c r="D84" s="4" t="inlineStr">
        <x:is>
          <x:t xml:space="preserve">white</x:t>
        </x:is>
      </x:c>
      <x:c r="E84" s="4" t="inlineStr">
        <x:is>
          <x:t xml:space="preserve">gray</x:t>
        </x:is>
      </x:c>
      <x:c r="F84" s="4" t="inlineStr">
        <x:is>
          <x:t xml:space="preserve">powdery</x:t>
        </x:is>
      </x:c>
      <x:c r="G84" s="4" t="inlineStr">
        <x:is>
          <x:t xml:space="preserve">patchy</x:t>
        </x:is>
      </x:c>
      <x:c r="H84" s="4" t="inlineStr">
        <x:is>
          <x:t xml:space="preserve">drywall, wood, dust</x:t>
        </x:is>
      </x:c>
      <x:c r="I84" s="4" t="inlineStr">
        <x:is>
          <x:t xml:space="preserve">bathrooms, basements, HVAC, windows</x:t>
        </x:is>
      </x:c>
      <x:c r="J84" s="4" t="inlineStr">
        <x:is>
          <x:t xml:space="preserve">moderate</x:t>
        </x:is>
      </x:c>
      <x:c r="K84" s="4" t="inlineStr">
        <x:is>
          <x:t xml:space="preserve">60+</x:t>
        </x:is>
      </x:c>
      <x:c r="L84" s="4" t="inlineStr">
        <x:is>
          <x:t xml:space="preserve">15-32</x:t>
        </x:is>
      </x:c>
      <x:c r="M84" s="4" t="inlineStr">
        <x:is>
          <x:t xml:space="preserve">yes</x:t>
        </x:is>
      </x:c>
      <x:c r="N84" s="4" t="inlineStr">
        <x:is>
          <x:t xml:space="preserve">possible via dust</x:t>
        </x:is>
      </x:c>
      <x:c r="O84" s="4" t="inlineStr">
        <x:is>
          <x:t xml:space="preserve">low to moderate</x:t>
        </x:is>
      </x:c>
      <x:c r="P84" s="4" t="inlineStr">
        <x:is>
          <x:t xml:space="preserve">possible</x:t>
        </x:is>
      </x:c>
      <x:c r="Q84" s="4" t="inlineStr">
        <x:is>
          <x:t xml:space="preserve">clean visible growth, correct moisture, remove wet porous materials if extensive</x:t>
        </x:is>
      </x:c>
      <x:c r="R84" s="4" t="inlineStr">
        <x:is>
          <x:t xml:space="preserve">patchy_growth, discoloration, moisture_associated</x:t>
        </x:is>
      </x:c>
      <x:c r="S84" s="4" t="inlineStr">
        <x:is>
          <x:t xml:space="preserve">Aspergillus/Penicillium-like</x:t>
        </x:is>
      </x:c>
      <x:c r="T84" s="4" t="inlineStr">
        <x:is>
          <x:t xml:space="preserve">moderate</x:t>
        </x:is>
      </x:c>
      <x:c r="U84" s="4" t="inlineStr">
        <x:is>
          <x:t xml:space="preserve">common indoor / allergen potential</x:t>
        </x:is>
      </x:c>
      <x:c r="V84" s="4" t="inlineStr">
        <x:is>
          <x:t xml:space="preserve">24-48 hrs with persistent humidity</x:t>
        </x:is>
      </x:c>
      <x:c r="W84" s="4" t="inlineStr">
        <x:is>
          <x:t xml:space="preserve">air and/or surface depending on context</x:t>
        </x:is>
      </x:c>
      <x:c r="X84" s="4" t="inlineStr">
        <x:is>
          <x:t xml:space="preserve">no</x:t>
        </x:is>
      </x:c>
      <x:c r="Y84" s="4" t="inlineStr">
        <x:is>
          <x:t xml:space="preserve">white, gray, powdery, patchy</x:t>
        </x:is>
      </x:c>
      <x:c r="Z84" s="4" t="inlineStr">
        <x:is>
          <x:t xml:space="preserve">porous materials preferred; non-porous growth usually on possible via dust</x:t>
        </x:is>
      </x:c>
    </x:row>
    <x:row r="85">
      <x:c r="A85" s="4" t="inlineStr">
        <x:is>
          <x:t xml:space="preserve">Verticillium albo-atrum</x:t>
        </x:is>
      </x:c>
      <x:c r="B85" s="4" t="inlineStr">
        <x:is>
          <x:t xml:space="preserve">Verticillium</x:t>
        </x:is>
      </x:c>
      <x:c r="C85" s="4" t="inlineStr">
        <x:is>
          <x:t xml:space="preserve">Common indoor</x:t>
        </x:is>
      </x:c>
      <x:c r="D85" s="4" t="inlineStr">
        <x:is>
          <x:t xml:space="preserve">white</x:t>
        </x:is>
      </x:c>
      <x:c r="E85" s="4" t="inlineStr">
        <x:is>
          <x:t xml:space="preserve">gray</x:t>
        </x:is>
      </x:c>
      <x:c r="F85" s="4" t="inlineStr">
        <x:is>
          <x:t xml:space="preserve">powdery</x:t>
        </x:is>
      </x:c>
      <x:c r="G85" s="4" t="inlineStr">
        <x:is>
          <x:t xml:space="preserve">patchy</x:t>
        </x:is>
      </x:c>
      <x:c r="H85" s="4" t="inlineStr">
        <x:is>
          <x:t xml:space="preserve">drywall, wood, dust</x:t>
        </x:is>
      </x:c>
      <x:c r="I85" s="4" t="inlineStr">
        <x:is>
          <x:t xml:space="preserve">bathrooms, basements, HVAC, windows</x:t>
        </x:is>
      </x:c>
      <x:c r="J85" s="4" t="inlineStr">
        <x:is>
          <x:t xml:space="preserve">moderate</x:t>
        </x:is>
      </x:c>
      <x:c r="K85" s="4" t="inlineStr">
        <x:is>
          <x:t xml:space="preserve">60+</x:t>
        </x:is>
      </x:c>
      <x:c r="L85" s="4" t="inlineStr">
        <x:is>
          <x:t xml:space="preserve">15-32</x:t>
        </x:is>
      </x:c>
      <x:c r="M85" s="4" t="inlineStr">
        <x:is>
          <x:t xml:space="preserve">yes</x:t>
        </x:is>
      </x:c>
      <x:c r="N85" s="4" t="inlineStr">
        <x:is>
          <x:t xml:space="preserve">possible via dust</x:t>
        </x:is>
      </x:c>
      <x:c r="O85" s="4" t="inlineStr">
        <x:is>
          <x:t xml:space="preserve">low to moderate</x:t>
        </x:is>
      </x:c>
      <x:c r="P85" s="4" t="inlineStr">
        <x:is>
          <x:t xml:space="preserve">possible</x:t>
        </x:is>
      </x:c>
      <x:c r="Q85" s="4" t="inlineStr">
        <x:is>
          <x:t xml:space="preserve">clean visible growth, correct moisture, remove wet porous materials if extensive</x:t>
        </x:is>
      </x:c>
      <x:c r="R85" s="4" t="inlineStr">
        <x:is>
          <x:t xml:space="preserve">patchy_growth, discoloration, moisture_associated</x:t>
        </x:is>
      </x:c>
      <x:c r="S85" s="4" t="inlineStr">
        <x:is>
          <x:t xml:space="preserve">Aspergillus/Penicillium-like</x:t>
        </x:is>
      </x:c>
      <x:c r="T85" s="4" t="inlineStr">
        <x:is>
          <x:t xml:space="preserve">moderate</x:t>
        </x:is>
      </x:c>
      <x:c r="U85" s="4" t="inlineStr">
        <x:is>
          <x:t xml:space="preserve">common indoor / allergen potential</x:t>
        </x:is>
      </x:c>
      <x:c r="V85" s="4" t="inlineStr">
        <x:is>
          <x:t xml:space="preserve">24-48 hrs with persistent humidity</x:t>
        </x:is>
      </x:c>
      <x:c r="W85" s="4" t="inlineStr">
        <x:is>
          <x:t xml:space="preserve">air and/or surface depending on context</x:t>
        </x:is>
      </x:c>
      <x:c r="X85" s="4" t="inlineStr">
        <x:is>
          <x:t xml:space="preserve">no</x:t>
        </x:is>
      </x:c>
      <x:c r="Y85" s="4" t="inlineStr">
        <x:is>
          <x:t xml:space="preserve">white, gray, powdery, patchy</x:t>
        </x:is>
      </x:c>
      <x:c r="Z85" s="4" t="inlineStr">
        <x:is>
          <x:t xml:space="preserve">porous materials preferred; non-porous growth usually on possible via dust</x:t>
        </x:is>
      </x:c>
    </x:row>
    <x:row r="86">
      <x:c r="A86" s="4" t="inlineStr">
        <x:is>
          <x:t xml:space="preserve">Cunninghamella bertholletiae</x:t>
        </x:is>
      </x:c>
      <x:c r="B86" s="4" t="inlineStr">
        <x:is>
          <x:t xml:space="preserve">Cunninghamella</x:t>
        </x:is>
      </x:c>
      <x:c r="C86" s="4" t="inlineStr">
        <x:is>
          <x:t xml:space="preserve">Common indoor</x:t>
        </x:is>
      </x:c>
      <x:c r="D86" s="4" t="inlineStr">
        <x:is>
          <x:t xml:space="preserve">white</x:t>
        </x:is>
      </x:c>
      <x:c r="E86" s="4" t="inlineStr">
        <x:is>
          <x:t xml:space="preserve">gray</x:t>
        </x:is>
      </x:c>
      <x:c r="F86" s="4" t="inlineStr">
        <x:is>
          <x:t xml:space="preserve">powdery</x:t>
        </x:is>
      </x:c>
      <x:c r="G86" s="4" t="inlineStr">
        <x:is>
          <x:t xml:space="preserve">patchy</x:t>
        </x:is>
      </x:c>
      <x:c r="H86" s="4" t="inlineStr">
        <x:is>
          <x:t xml:space="preserve">drywall, wood, dust</x:t>
        </x:is>
      </x:c>
      <x:c r="I86" s="4" t="inlineStr">
        <x:is>
          <x:t xml:space="preserve">bathrooms, basements, HVAC, windows</x:t>
        </x:is>
      </x:c>
      <x:c r="J86" s="4" t="inlineStr">
        <x:is>
          <x:t xml:space="preserve">moderate</x:t>
        </x:is>
      </x:c>
      <x:c r="K86" s="4" t="inlineStr">
        <x:is>
          <x:t xml:space="preserve">60+</x:t>
        </x:is>
      </x:c>
      <x:c r="L86" s="4" t="inlineStr">
        <x:is>
          <x:t xml:space="preserve">15-32</x:t>
        </x:is>
      </x:c>
      <x:c r="M86" s="4" t="inlineStr">
        <x:is>
          <x:t xml:space="preserve">yes</x:t>
        </x:is>
      </x:c>
      <x:c r="N86" s="4" t="inlineStr">
        <x:is>
          <x:t xml:space="preserve">possible via dust</x:t>
        </x:is>
      </x:c>
      <x:c r="O86" s="4" t="inlineStr">
        <x:is>
          <x:t xml:space="preserve">low to moderate</x:t>
        </x:is>
      </x:c>
      <x:c r="P86" s="4" t="inlineStr">
        <x:is>
          <x:t xml:space="preserve">possible</x:t>
        </x:is>
      </x:c>
      <x:c r="Q86" s="4" t="inlineStr">
        <x:is>
          <x:t xml:space="preserve">clean visible growth, correct moisture, remove wet porous materials if extensive</x:t>
        </x:is>
      </x:c>
      <x:c r="R86" s="4" t="inlineStr">
        <x:is>
          <x:t xml:space="preserve">patchy_growth, discoloration, moisture_associated</x:t>
        </x:is>
      </x:c>
      <x:c r="S86" s="4" t="inlineStr">
        <x:is>
          <x:t xml:space="preserve">Zygomycete-like fast-growth group</x:t>
        </x:is>
      </x:c>
      <x:c r="T86" s="4" t="inlineStr">
        <x:is>
          <x:t xml:space="preserve">moderate</x:t>
        </x:is>
      </x:c>
      <x:c r="U86" s="4" t="inlineStr">
        <x:is>
          <x:t xml:space="preserve">common indoor / allergen potential</x:t>
        </x:is>
      </x:c>
      <x:c r="V86" s="4" t="inlineStr">
        <x:is>
          <x:t xml:space="preserve">24-48 hrs with persistent humidity</x:t>
        </x:is>
      </x:c>
      <x:c r="W86" s="4" t="inlineStr">
        <x:is>
          <x:t xml:space="preserve">air and/or surface depending on context</x:t>
        </x:is>
      </x:c>
      <x:c r="X86" s="4" t="inlineStr">
        <x:is>
          <x:t xml:space="preserve">no</x:t>
        </x:is>
      </x:c>
      <x:c r="Y86" s="4" t="inlineStr">
        <x:is>
          <x:t xml:space="preserve">white, gray, powdery, patchy</x:t>
        </x:is>
      </x:c>
      <x:c r="Z86" s="4" t="inlineStr">
        <x:is>
          <x:t xml:space="preserve">porous materials preferred; non-porous growth usually on possible via dust</x:t>
        </x:is>
      </x:c>
    </x:row>
    <x:row r="87">
      <x:c r="A87" s="4" t="inlineStr">
        <x:is>
          <x:t xml:space="preserve">Eurotium amstelodami</x:t>
        </x:is>
      </x:c>
      <x:c r="B87" s="4" t="inlineStr">
        <x:is>
          <x:t xml:space="preserve">Eurotium</x:t>
        </x:is>
      </x:c>
      <x:c r="C87" s="4" t="inlineStr">
        <x:is>
          <x:t xml:space="preserve">Common indoor</x:t>
        </x:is>
      </x:c>
      <x:c r="D87" s="4" t="inlineStr">
        <x:is>
          <x:t xml:space="preserve">white</x:t>
        </x:is>
      </x:c>
      <x:c r="E87" s="4" t="inlineStr">
        <x:is>
          <x:t xml:space="preserve">gray</x:t>
        </x:is>
      </x:c>
      <x:c r="F87" s="4" t="inlineStr">
        <x:is>
          <x:t xml:space="preserve">powdery</x:t>
        </x:is>
      </x:c>
      <x:c r="G87" s="4" t="inlineStr">
        <x:is>
          <x:t xml:space="preserve">patchy</x:t>
        </x:is>
      </x:c>
      <x:c r="H87" s="4" t="inlineStr">
        <x:is>
          <x:t xml:space="preserve">drywall, wood, dust</x:t>
        </x:is>
      </x:c>
      <x:c r="I87" s="4" t="inlineStr">
        <x:is>
          <x:t xml:space="preserve">bathrooms, basements, HVAC, windows</x:t>
        </x:is>
      </x:c>
      <x:c r="J87" s="4" t="inlineStr">
        <x:is>
          <x:t xml:space="preserve">moderate</x:t>
        </x:is>
      </x:c>
      <x:c r="K87" s="4" t="inlineStr">
        <x:is>
          <x:t xml:space="preserve">60+</x:t>
        </x:is>
      </x:c>
      <x:c r="L87" s="4" t="inlineStr">
        <x:is>
          <x:t xml:space="preserve">15-32</x:t>
        </x:is>
      </x:c>
      <x:c r="M87" s="4" t="inlineStr">
        <x:is>
          <x:t xml:space="preserve">yes</x:t>
        </x:is>
      </x:c>
      <x:c r="N87" s="4" t="inlineStr">
        <x:is>
          <x:t xml:space="preserve">possible via dust</x:t>
        </x:is>
      </x:c>
      <x:c r="O87" s="4" t="inlineStr">
        <x:is>
          <x:t xml:space="preserve">low to moderate</x:t>
        </x:is>
      </x:c>
      <x:c r="P87" s="4" t="inlineStr">
        <x:is>
          <x:t xml:space="preserve">possible</x:t>
        </x:is>
      </x:c>
      <x:c r="Q87" s="4" t="inlineStr">
        <x:is>
          <x:t xml:space="preserve">clean visible growth, correct moisture, remove wet porous materials if extensive</x:t>
        </x:is>
      </x:c>
      <x:c r="R87" s="4" t="inlineStr">
        <x:is>
          <x:t xml:space="preserve">patchy_growth, discoloration, moisture_associated</x:t>
        </x:is>
      </x:c>
      <x:c r="S87" s="4" t="inlineStr">
        <x:is>
          <x:t xml:space="preserve">Eurotium visual group</x:t>
        </x:is>
      </x:c>
      <x:c r="T87" s="4" t="inlineStr">
        <x:is>
          <x:t xml:space="preserve">moderate</x:t>
        </x:is>
      </x:c>
      <x:c r="U87" s="4" t="inlineStr">
        <x:is>
          <x:t xml:space="preserve">common indoor / allergen potential</x:t>
        </x:is>
      </x:c>
      <x:c r="V87" s="4" t="inlineStr">
        <x:is>
          <x:t xml:space="preserve">24-48 hrs with persistent humidity</x:t>
        </x:is>
      </x:c>
      <x:c r="W87" s="4" t="inlineStr">
        <x:is>
          <x:t xml:space="preserve">air and/or surface depending on context</x:t>
        </x:is>
      </x:c>
      <x:c r="X87" s="4" t="inlineStr">
        <x:is>
          <x:t xml:space="preserve">no</x:t>
        </x:is>
      </x:c>
      <x:c r="Y87" s="4" t="inlineStr">
        <x:is>
          <x:t xml:space="preserve">white, gray, powdery, patchy</x:t>
        </x:is>
      </x:c>
      <x:c r="Z87" s="4" t="inlineStr">
        <x:is>
          <x:t xml:space="preserve">porous materials preferred; non-porous growth usually on possible via dust</x:t>
        </x:is>
      </x:c>
    </x:row>
    <x:row r="88">
      <x:c r="A88" s="4" t="inlineStr">
        <x:is>
          <x:t xml:space="preserve">Humicola grisea</x:t>
        </x:is>
      </x:c>
      <x:c r="B88" s="4" t="inlineStr">
        <x:is>
          <x:t xml:space="preserve">Humicola</x:t>
        </x:is>
      </x:c>
      <x:c r="C88" s="4" t="inlineStr">
        <x:is>
          <x:t xml:space="preserve">Common indoor</x:t>
        </x:is>
      </x:c>
      <x:c r="D88" s="4" t="inlineStr">
        <x:is>
          <x:t xml:space="preserve">white</x:t>
        </x:is>
      </x:c>
      <x:c r="E88" s="4" t="inlineStr">
        <x:is>
          <x:t xml:space="preserve">gray</x:t>
        </x:is>
      </x:c>
      <x:c r="F88" s="4" t="inlineStr">
        <x:is>
          <x:t xml:space="preserve">powdery</x:t>
        </x:is>
      </x:c>
      <x:c r="G88" s="4" t="inlineStr">
        <x:is>
          <x:t xml:space="preserve">patchy</x:t>
        </x:is>
      </x:c>
      <x:c r="H88" s="4" t="inlineStr">
        <x:is>
          <x:t xml:space="preserve">drywall, wood, dust</x:t>
        </x:is>
      </x:c>
      <x:c r="I88" s="4" t="inlineStr">
        <x:is>
          <x:t xml:space="preserve">bathrooms, basements, HVAC, windows</x:t>
        </x:is>
      </x:c>
      <x:c r="J88" s="4" t="inlineStr">
        <x:is>
          <x:t xml:space="preserve">moderate</x:t>
        </x:is>
      </x:c>
      <x:c r="K88" s="4" t="inlineStr">
        <x:is>
          <x:t xml:space="preserve">60+</x:t>
        </x:is>
      </x:c>
      <x:c r="L88" s="4" t="inlineStr">
        <x:is>
          <x:t xml:space="preserve">15-32</x:t>
        </x:is>
      </x:c>
      <x:c r="M88" s="4" t="inlineStr">
        <x:is>
          <x:t xml:space="preserve">yes</x:t>
        </x:is>
      </x:c>
      <x:c r="N88" s="4" t="inlineStr">
        <x:is>
          <x:t xml:space="preserve">possible via dust</x:t>
        </x:is>
      </x:c>
      <x:c r="O88" s="4" t="inlineStr">
        <x:is>
          <x:t xml:space="preserve">low to moderate</x:t>
        </x:is>
      </x:c>
      <x:c r="P88" s="4" t="inlineStr">
        <x:is>
          <x:t xml:space="preserve">possible</x:t>
        </x:is>
      </x:c>
      <x:c r="Q88" s="4" t="inlineStr">
        <x:is>
          <x:t xml:space="preserve">clean visible growth, correct moisture, remove wet porous materials if extensive</x:t>
        </x:is>
      </x:c>
      <x:c r="R88" s="4" t="inlineStr">
        <x:is>
          <x:t xml:space="preserve">patchy_growth, discoloration, moisture_associated</x:t>
        </x:is>
      </x:c>
      <x:c r="S88" s="4" t="inlineStr">
        <x:is>
          <x:t xml:space="preserve">Humicola visual group</x:t>
        </x:is>
      </x:c>
      <x:c r="T88" s="4" t="inlineStr">
        <x:is>
          <x:t xml:space="preserve">moderate</x:t>
        </x:is>
      </x:c>
      <x:c r="U88" s="4" t="inlineStr">
        <x:is>
          <x:t xml:space="preserve">common indoor / allergen potential</x:t>
        </x:is>
      </x:c>
      <x:c r="V88" s="4" t="inlineStr">
        <x:is>
          <x:t xml:space="preserve">24-48 hrs with persistent humidity</x:t>
        </x:is>
      </x:c>
      <x:c r="W88" s="4" t="inlineStr">
        <x:is>
          <x:t xml:space="preserve">air and/or surface depending on context</x:t>
        </x:is>
      </x:c>
      <x:c r="X88" s="4" t="inlineStr">
        <x:is>
          <x:t xml:space="preserve">no</x:t>
        </x:is>
      </x:c>
      <x:c r="Y88" s="4" t="inlineStr">
        <x:is>
          <x:t xml:space="preserve">white, gray, powdery, patchy</x:t>
        </x:is>
      </x:c>
      <x:c r="Z88" s="4" t="inlineStr">
        <x:is>
          <x:t xml:space="preserve">porous materials preferred; non-porous growth usually on possible via dust</x:t>
        </x:is>
      </x:c>
    </x:row>
    <x:row r="89">
      <x:c r="A89" s="4" t="inlineStr">
        <x:is>
          <x:t xml:space="preserve">Lichtheimia corymbifera</x:t>
        </x:is>
      </x:c>
      <x:c r="B89" s="4" t="inlineStr">
        <x:is>
          <x:t xml:space="preserve">Lichtheimia</x:t>
        </x:is>
      </x:c>
      <x:c r="C89" s="4" t="inlineStr">
        <x:is>
          <x:t xml:space="preserve">Common indoor</x:t>
        </x:is>
      </x:c>
      <x:c r="D89" s="4" t="inlineStr">
        <x:is>
          <x:t xml:space="preserve">white</x:t>
        </x:is>
      </x:c>
      <x:c r="E89" s="4" t="inlineStr">
        <x:is>
          <x:t xml:space="preserve">gray</x:t>
        </x:is>
      </x:c>
      <x:c r="F89" s="4" t="inlineStr">
        <x:is>
          <x:t xml:space="preserve">powdery</x:t>
        </x:is>
      </x:c>
      <x:c r="G89" s="4" t="inlineStr">
        <x:is>
          <x:t xml:space="preserve">patchy</x:t>
        </x:is>
      </x:c>
      <x:c r="H89" s="4" t="inlineStr">
        <x:is>
          <x:t xml:space="preserve">drywall, wood, dust</x:t>
        </x:is>
      </x:c>
      <x:c r="I89" s="4" t="inlineStr">
        <x:is>
          <x:t xml:space="preserve">bathrooms, basements, HVAC, windows</x:t>
        </x:is>
      </x:c>
      <x:c r="J89" s="4" t="inlineStr">
        <x:is>
          <x:t xml:space="preserve">moderate</x:t>
        </x:is>
      </x:c>
      <x:c r="K89" s="4" t="inlineStr">
        <x:is>
          <x:t xml:space="preserve">60+</x:t>
        </x:is>
      </x:c>
      <x:c r="L89" s="4" t="inlineStr">
        <x:is>
          <x:t xml:space="preserve">15-32</x:t>
        </x:is>
      </x:c>
      <x:c r="M89" s="4" t="inlineStr">
        <x:is>
          <x:t xml:space="preserve">yes</x:t>
        </x:is>
      </x:c>
      <x:c r="N89" s="4" t="inlineStr">
        <x:is>
          <x:t xml:space="preserve">possible via dust</x:t>
        </x:is>
      </x:c>
      <x:c r="O89" s="4" t="inlineStr">
        <x:is>
          <x:t xml:space="preserve">low to moderate</x:t>
        </x:is>
      </x:c>
      <x:c r="P89" s="4" t="inlineStr">
        <x:is>
          <x:t xml:space="preserve">possible</x:t>
        </x:is>
      </x:c>
      <x:c r="Q89" s="4" t="inlineStr">
        <x:is>
          <x:t xml:space="preserve">clean visible growth, correct moisture, remove wet porous materials if extensive</x:t>
        </x:is>
      </x:c>
      <x:c r="R89" s="4" t="inlineStr">
        <x:is>
          <x:t xml:space="preserve">patchy_growth, discoloration, moisture_associated</x:t>
        </x:is>
      </x:c>
      <x:c r="S89" s="4" t="inlineStr">
        <x:is>
          <x:t xml:space="preserve">Lichtheimia visual group</x:t>
        </x:is>
      </x:c>
      <x:c r="T89" s="4" t="inlineStr">
        <x:is>
          <x:t xml:space="preserve">moderate</x:t>
        </x:is>
      </x:c>
      <x:c r="U89" s="4" t="inlineStr">
        <x:is>
          <x:t xml:space="preserve">common indoor / allergen potential</x:t>
        </x:is>
      </x:c>
      <x:c r="V89" s="4" t="inlineStr">
        <x:is>
          <x:t xml:space="preserve">24-48 hrs with persistent humidity</x:t>
        </x:is>
      </x:c>
      <x:c r="W89" s="4" t="inlineStr">
        <x:is>
          <x:t xml:space="preserve">air and/or surface depending on context</x:t>
        </x:is>
      </x:c>
      <x:c r="X89" s="4" t="inlineStr">
        <x:is>
          <x:t xml:space="preserve">no</x:t>
        </x:is>
      </x:c>
      <x:c r="Y89" s="4" t="inlineStr">
        <x:is>
          <x:t xml:space="preserve">white, gray, powdery, patchy</x:t>
        </x:is>
      </x:c>
      <x:c r="Z89" s="4" t="inlineStr">
        <x:is>
          <x:t xml:space="preserve">porous materials preferred; non-porous growth usually on possible via dust</x:t>
        </x:is>
      </x:c>
    </x:row>
    <x:row r="90">
      <x:c r="A90" s="4" t="inlineStr">
        <x:is>
          <x:t xml:space="preserve">Mortierella alpina</x:t>
        </x:is>
      </x:c>
      <x:c r="B90" s="4" t="inlineStr">
        <x:is>
          <x:t xml:space="preserve">Mortierella</x:t>
        </x:is>
      </x:c>
      <x:c r="C90" s="4" t="inlineStr">
        <x:is>
          <x:t xml:space="preserve">Common indoor</x:t>
        </x:is>
      </x:c>
      <x:c r="D90" s="4" t="inlineStr">
        <x:is>
          <x:t xml:space="preserve">white</x:t>
        </x:is>
      </x:c>
      <x:c r="E90" s="4" t="inlineStr">
        <x:is>
          <x:t xml:space="preserve">gray</x:t>
        </x:is>
      </x:c>
      <x:c r="F90" s="4" t="inlineStr">
        <x:is>
          <x:t xml:space="preserve">powdery</x:t>
        </x:is>
      </x:c>
      <x:c r="G90" s="4" t="inlineStr">
        <x:is>
          <x:t xml:space="preserve">patchy</x:t>
        </x:is>
      </x:c>
      <x:c r="H90" s="4" t="inlineStr">
        <x:is>
          <x:t xml:space="preserve">drywall, wood, dust</x:t>
        </x:is>
      </x:c>
      <x:c r="I90" s="4" t="inlineStr">
        <x:is>
          <x:t xml:space="preserve">bathrooms, basements, HVAC, windows</x:t>
        </x:is>
      </x:c>
      <x:c r="J90" s="4" t="inlineStr">
        <x:is>
          <x:t xml:space="preserve">moderate</x:t>
        </x:is>
      </x:c>
      <x:c r="K90" s="4" t="inlineStr">
        <x:is>
          <x:t xml:space="preserve">60+</x:t>
        </x:is>
      </x:c>
      <x:c r="L90" s="4" t="inlineStr">
        <x:is>
          <x:t xml:space="preserve">15-32</x:t>
        </x:is>
      </x:c>
      <x:c r="M90" s="4" t="inlineStr">
        <x:is>
          <x:t xml:space="preserve">yes</x:t>
        </x:is>
      </x:c>
      <x:c r="N90" s="4" t="inlineStr">
        <x:is>
          <x:t xml:space="preserve">possible via dust</x:t>
        </x:is>
      </x:c>
      <x:c r="O90" s="4" t="inlineStr">
        <x:is>
          <x:t xml:space="preserve">low to moderate</x:t>
        </x:is>
      </x:c>
      <x:c r="P90" s="4" t="inlineStr">
        <x:is>
          <x:t xml:space="preserve">possible</x:t>
        </x:is>
      </x:c>
      <x:c r="Q90" s="4" t="inlineStr">
        <x:is>
          <x:t xml:space="preserve">clean visible growth, correct moisture, remove wet porous materials if extensive</x:t>
        </x:is>
      </x:c>
      <x:c r="R90" s="4" t="inlineStr">
        <x:is>
          <x:t xml:space="preserve">patchy_growth, discoloration, moisture_associated</x:t>
        </x:is>
      </x:c>
      <x:c r="S90" s="4" t="inlineStr">
        <x:is>
          <x:t xml:space="preserve">Mortierella visual group</x:t>
        </x:is>
      </x:c>
      <x:c r="T90" s="4" t="inlineStr">
        <x:is>
          <x:t xml:space="preserve">moderate</x:t>
        </x:is>
      </x:c>
      <x:c r="U90" s="4" t="inlineStr">
        <x:is>
          <x:t xml:space="preserve">common indoor / allergen potential</x:t>
        </x:is>
      </x:c>
      <x:c r="V90" s="4" t="inlineStr">
        <x:is>
          <x:t xml:space="preserve">24-48 hrs with persistent humidity</x:t>
        </x:is>
      </x:c>
      <x:c r="W90" s="4" t="inlineStr">
        <x:is>
          <x:t xml:space="preserve">air and/or surface depending on context</x:t>
        </x:is>
      </x:c>
      <x:c r="X90" s="4" t="inlineStr">
        <x:is>
          <x:t xml:space="preserve">no</x:t>
        </x:is>
      </x:c>
      <x:c r="Y90" s="4" t="inlineStr">
        <x:is>
          <x:t xml:space="preserve">white, gray, powdery, patchy</x:t>
        </x:is>
      </x:c>
      <x:c r="Z90" s="4" t="inlineStr">
        <x:is>
          <x:t xml:space="preserve">porous materials preferred; non-porous growth usually on possible via dust</x:t>
        </x:is>
      </x:c>
    </x:row>
    <x:row r="91">
      <x:c r="A91" s="4" t="inlineStr">
        <x:is>
          <x:t xml:space="preserve">Pestalotiopsis microspora</x:t>
        </x:is>
      </x:c>
      <x:c r="B91" s="4" t="inlineStr">
        <x:is>
          <x:t xml:space="preserve">Pestalotiopsis</x:t>
        </x:is>
      </x:c>
      <x:c r="C91" s="4" t="inlineStr">
        <x:is>
          <x:t xml:space="preserve">Common indoor</x:t>
        </x:is>
      </x:c>
      <x:c r="D91" s="4" t="inlineStr">
        <x:is>
          <x:t xml:space="preserve">white</x:t>
        </x:is>
      </x:c>
      <x:c r="E91" s="4" t="inlineStr">
        <x:is>
          <x:t xml:space="preserve">gray</x:t>
        </x:is>
      </x:c>
      <x:c r="F91" s="4" t="inlineStr">
        <x:is>
          <x:t xml:space="preserve">powdery</x:t>
        </x:is>
      </x:c>
      <x:c r="G91" s="4" t="inlineStr">
        <x:is>
          <x:t xml:space="preserve">patchy</x:t>
        </x:is>
      </x:c>
      <x:c r="H91" s="4" t="inlineStr">
        <x:is>
          <x:t xml:space="preserve">drywall, wood, dust</x:t>
        </x:is>
      </x:c>
      <x:c r="I91" s="4" t="inlineStr">
        <x:is>
          <x:t xml:space="preserve">bathrooms, basements, HVAC, windows</x:t>
        </x:is>
      </x:c>
      <x:c r="J91" s="4" t="inlineStr">
        <x:is>
          <x:t xml:space="preserve">moderate</x:t>
        </x:is>
      </x:c>
      <x:c r="K91" s="4" t="inlineStr">
        <x:is>
          <x:t xml:space="preserve">60+</x:t>
        </x:is>
      </x:c>
      <x:c r="L91" s="4" t="inlineStr">
        <x:is>
          <x:t xml:space="preserve">15-32</x:t>
        </x:is>
      </x:c>
      <x:c r="M91" s="4" t="inlineStr">
        <x:is>
          <x:t xml:space="preserve">yes</x:t>
        </x:is>
      </x:c>
      <x:c r="N91" s="4" t="inlineStr">
        <x:is>
          <x:t xml:space="preserve">possible via dust</x:t>
        </x:is>
      </x:c>
      <x:c r="O91" s="4" t="inlineStr">
        <x:is>
          <x:t xml:space="preserve">low to moderate</x:t>
        </x:is>
      </x:c>
      <x:c r="P91" s="4" t="inlineStr">
        <x:is>
          <x:t xml:space="preserve">possible</x:t>
        </x:is>
      </x:c>
      <x:c r="Q91" s="4" t="inlineStr">
        <x:is>
          <x:t xml:space="preserve">clean visible growth, correct moisture, remove wet porous materials if extensive</x:t>
        </x:is>
      </x:c>
      <x:c r="R91" s="4" t="inlineStr">
        <x:is>
          <x:t xml:space="preserve">patchy_growth, discoloration, moisture_associated</x:t>
        </x:is>
      </x:c>
      <x:c r="S91" s="4" t="inlineStr">
        <x:is>
          <x:t xml:space="preserve">Pestalotiopsis visual group</x:t>
        </x:is>
      </x:c>
      <x:c r="T91" s="4" t="inlineStr">
        <x:is>
          <x:t xml:space="preserve">moderate</x:t>
        </x:is>
      </x:c>
      <x:c r="U91" s="4" t="inlineStr">
        <x:is>
          <x:t xml:space="preserve">common indoor / allergen potential</x:t>
        </x:is>
      </x:c>
      <x:c r="V91" s="4" t="inlineStr">
        <x:is>
          <x:t xml:space="preserve">24-48 hrs with persistent humidity</x:t>
        </x:is>
      </x:c>
      <x:c r="W91" s="4" t="inlineStr">
        <x:is>
          <x:t xml:space="preserve">air and/or surface depending on context</x:t>
        </x:is>
      </x:c>
      <x:c r="X91" s="4" t="inlineStr">
        <x:is>
          <x:t xml:space="preserve">no</x:t>
        </x:is>
      </x:c>
      <x:c r="Y91" s="4" t="inlineStr">
        <x:is>
          <x:t xml:space="preserve">white, gray, powdery, patchy</x:t>
        </x:is>
      </x:c>
      <x:c r="Z91" s="4" t="inlineStr">
        <x:is>
          <x:t xml:space="preserve">porous materials preferred; non-porous growth usually on possible via dust</x:t>
        </x:is>
      </x:c>
    </x:row>
    <x:row r="92">
      <x:c r="A92" s="4" t="inlineStr">
        <x:is>
          <x:t xml:space="preserve">Phialophora verrucosa</x:t>
        </x:is>
      </x:c>
      <x:c r="B92" s="4" t="inlineStr">
        <x:is>
          <x:t xml:space="preserve">Phialophora</x:t>
        </x:is>
      </x:c>
      <x:c r="C92" s="4" t="inlineStr">
        <x:is>
          <x:t xml:space="preserve">Common indoor</x:t>
        </x:is>
      </x:c>
      <x:c r="D92" s="4" t="inlineStr">
        <x:is>
          <x:t xml:space="preserve">white</x:t>
        </x:is>
      </x:c>
      <x:c r="E92" s="4" t="inlineStr">
        <x:is>
          <x:t xml:space="preserve">gray</x:t>
        </x:is>
      </x:c>
      <x:c r="F92" s="4" t="inlineStr">
        <x:is>
          <x:t xml:space="preserve">powdery</x:t>
        </x:is>
      </x:c>
      <x:c r="G92" s="4" t="inlineStr">
        <x:is>
          <x:t xml:space="preserve">patchy</x:t>
        </x:is>
      </x:c>
      <x:c r="H92" s="4" t="inlineStr">
        <x:is>
          <x:t xml:space="preserve">drywall, wood, dust</x:t>
        </x:is>
      </x:c>
      <x:c r="I92" s="4" t="inlineStr">
        <x:is>
          <x:t xml:space="preserve">bathrooms, basements, HVAC, windows</x:t>
        </x:is>
      </x:c>
      <x:c r="J92" s="4" t="inlineStr">
        <x:is>
          <x:t xml:space="preserve">moderate</x:t>
        </x:is>
      </x:c>
      <x:c r="K92" s="4" t="inlineStr">
        <x:is>
          <x:t xml:space="preserve">60+</x:t>
        </x:is>
      </x:c>
      <x:c r="L92" s="4" t="inlineStr">
        <x:is>
          <x:t xml:space="preserve">15-32</x:t>
        </x:is>
      </x:c>
      <x:c r="M92" s="4" t="inlineStr">
        <x:is>
          <x:t xml:space="preserve">yes</x:t>
        </x:is>
      </x:c>
      <x:c r="N92" s="4" t="inlineStr">
        <x:is>
          <x:t xml:space="preserve">possible via dust</x:t>
        </x:is>
      </x:c>
      <x:c r="O92" s="4" t="inlineStr">
        <x:is>
          <x:t xml:space="preserve">low to moderate</x:t>
        </x:is>
      </x:c>
      <x:c r="P92" s="4" t="inlineStr">
        <x:is>
          <x:t xml:space="preserve">possible</x:t>
        </x:is>
      </x:c>
      <x:c r="Q92" s="4" t="inlineStr">
        <x:is>
          <x:t xml:space="preserve">clean visible growth, correct moisture, remove wet porous materials if extensive</x:t>
        </x:is>
      </x:c>
      <x:c r="R92" s="4" t="inlineStr">
        <x:is>
          <x:t xml:space="preserve">patchy_growth, discoloration, moisture_associated</x:t>
        </x:is>
      </x:c>
      <x:c r="S92" s="4" t="inlineStr">
        <x:is>
          <x:t xml:space="preserve">Aspergillus/Penicillium-like</x:t>
        </x:is>
      </x:c>
      <x:c r="T92" s="4" t="inlineStr">
        <x:is>
          <x:t xml:space="preserve">moderate</x:t>
        </x:is>
      </x:c>
      <x:c r="U92" s="4" t="inlineStr">
        <x:is>
          <x:t xml:space="preserve">common indoor / allergen potential</x:t>
        </x:is>
      </x:c>
      <x:c r="V92" s="4" t="inlineStr">
        <x:is>
          <x:t xml:space="preserve">24-48 hrs with persistent humidity</x:t>
        </x:is>
      </x:c>
      <x:c r="W92" s="4" t="inlineStr">
        <x:is>
          <x:t xml:space="preserve">air and/or surface depending on context</x:t>
        </x:is>
      </x:c>
      <x:c r="X92" s="4" t="inlineStr">
        <x:is>
          <x:t xml:space="preserve">no</x:t>
        </x:is>
      </x:c>
      <x:c r="Y92" s="4" t="inlineStr">
        <x:is>
          <x:t xml:space="preserve">white, gray, powdery, patchy</x:t>
        </x:is>
      </x:c>
      <x:c r="Z92" s="4" t="inlineStr">
        <x:is>
          <x:t xml:space="preserve">porous materials preferred; non-porous growth usually on possible via dust</x:t>
        </x:is>
      </x:c>
    </x:row>
    <x:row r="93">
      <x:c r="A93" s="4" t="inlineStr">
        <x:is>
          <x:t xml:space="preserve">Rhinocladiella aquaspersa</x:t>
        </x:is>
      </x:c>
      <x:c r="B93" s="4" t="inlineStr">
        <x:is>
          <x:t xml:space="preserve">Rhinocladiella</x:t>
        </x:is>
      </x:c>
      <x:c r="C93" s="4" t="inlineStr">
        <x:is>
          <x:t xml:space="preserve">Common indoor</x:t>
        </x:is>
      </x:c>
      <x:c r="D93" s="4" t="inlineStr">
        <x:is>
          <x:t xml:space="preserve">white</x:t>
        </x:is>
      </x:c>
      <x:c r="E93" s="4" t="inlineStr">
        <x:is>
          <x:t xml:space="preserve">gray</x:t>
        </x:is>
      </x:c>
      <x:c r="F93" s="4" t="inlineStr">
        <x:is>
          <x:t xml:space="preserve">powdery</x:t>
        </x:is>
      </x:c>
      <x:c r="G93" s="4" t="inlineStr">
        <x:is>
          <x:t xml:space="preserve">patchy</x:t>
        </x:is>
      </x:c>
      <x:c r="H93" s="4" t="inlineStr">
        <x:is>
          <x:t xml:space="preserve">drywall, wood, dust</x:t>
        </x:is>
      </x:c>
      <x:c r="I93" s="4" t="inlineStr">
        <x:is>
          <x:t xml:space="preserve">bathrooms, basements, HVAC, windows</x:t>
        </x:is>
      </x:c>
      <x:c r="J93" s="4" t="inlineStr">
        <x:is>
          <x:t xml:space="preserve">moderate</x:t>
        </x:is>
      </x:c>
      <x:c r="K93" s="4" t="inlineStr">
        <x:is>
          <x:t xml:space="preserve">60+</x:t>
        </x:is>
      </x:c>
      <x:c r="L93" s="4" t="inlineStr">
        <x:is>
          <x:t xml:space="preserve">15-32</x:t>
        </x:is>
      </x:c>
      <x:c r="M93" s="4" t="inlineStr">
        <x:is>
          <x:t xml:space="preserve">yes</x:t>
        </x:is>
      </x:c>
      <x:c r="N93" s="4" t="inlineStr">
        <x:is>
          <x:t xml:space="preserve">possible via dust</x:t>
        </x:is>
      </x:c>
      <x:c r="O93" s="4" t="inlineStr">
        <x:is>
          <x:t xml:space="preserve">low to moderate</x:t>
        </x:is>
      </x:c>
      <x:c r="P93" s="4" t="inlineStr">
        <x:is>
          <x:t xml:space="preserve">possible</x:t>
        </x:is>
      </x:c>
      <x:c r="Q93" s="4" t="inlineStr">
        <x:is>
          <x:t xml:space="preserve">clean visible growth, correct moisture, remove wet porous materials if extensive</x:t>
        </x:is>
      </x:c>
      <x:c r="R93" s="4" t="inlineStr">
        <x:is>
          <x:t xml:space="preserve">patchy_growth, discoloration, moisture_associated</x:t>
        </x:is>
      </x:c>
      <x:c r="S93" s="4" t="inlineStr">
        <x:is>
          <x:t xml:space="preserve">Rhinocladiella visual group</x:t>
        </x:is>
      </x:c>
      <x:c r="T93" s="4" t="inlineStr">
        <x:is>
          <x:t xml:space="preserve">moderate</x:t>
        </x:is>
      </x:c>
      <x:c r="U93" s="4" t="inlineStr">
        <x:is>
          <x:t xml:space="preserve">common indoor / allergen potential</x:t>
        </x:is>
      </x:c>
      <x:c r="V93" s="4" t="inlineStr">
        <x:is>
          <x:t xml:space="preserve">24-48 hrs with persistent humidity</x:t>
        </x:is>
      </x:c>
      <x:c r="W93" s="4" t="inlineStr">
        <x:is>
          <x:t xml:space="preserve">air and/or surface depending on context</x:t>
        </x:is>
      </x:c>
      <x:c r="X93" s="4" t="inlineStr">
        <x:is>
          <x:t xml:space="preserve">no</x:t>
        </x:is>
      </x:c>
      <x:c r="Y93" s="4" t="inlineStr">
        <x:is>
          <x:t xml:space="preserve">white, gray, powdery, patchy</x:t>
        </x:is>
      </x:c>
      <x:c r="Z93" s="4" t="inlineStr">
        <x:is>
          <x:t xml:space="preserve">porous materials preferred; non-porous growth usually on possible via dust</x:t>
        </x:is>
      </x:c>
    </x:row>
    <x:row r="94">
      <x:c r="A94" s="4" t="inlineStr">
        <x:is>
          <x:t xml:space="preserve">Scolecobasidium humicola</x:t>
        </x:is>
      </x:c>
      <x:c r="B94" s="4" t="inlineStr">
        <x:is>
          <x:t xml:space="preserve">Scolecobasidium</x:t>
        </x:is>
      </x:c>
      <x:c r="C94" s="4" t="inlineStr">
        <x:is>
          <x:t xml:space="preserve">Common indoor</x:t>
        </x:is>
      </x:c>
      <x:c r="D94" s="4" t="inlineStr">
        <x:is>
          <x:t xml:space="preserve">white</x:t>
        </x:is>
      </x:c>
      <x:c r="E94" s="4" t="inlineStr">
        <x:is>
          <x:t xml:space="preserve">gray</x:t>
        </x:is>
      </x:c>
      <x:c r="F94" s="4" t="inlineStr">
        <x:is>
          <x:t xml:space="preserve">powdery</x:t>
        </x:is>
      </x:c>
      <x:c r="G94" s="4" t="inlineStr">
        <x:is>
          <x:t xml:space="preserve">patchy</x:t>
        </x:is>
      </x:c>
      <x:c r="H94" s="4" t="inlineStr">
        <x:is>
          <x:t xml:space="preserve">drywall, wood, dust</x:t>
        </x:is>
      </x:c>
      <x:c r="I94" s="4" t="inlineStr">
        <x:is>
          <x:t xml:space="preserve">bathrooms, basements, HVAC, windows</x:t>
        </x:is>
      </x:c>
      <x:c r="J94" s="4" t="inlineStr">
        <x:is>
          <x:t xml:space="preserve">moderate</x:t>
        </x:is>
      </x:c>
      <x:c r="K94" s="4" t="inlineStr">
        <x:is>
          <x:t xml:space="preserve">60+</x:t>
        </x:is>
      </x:c>
      <x:c r="L94" s="4" t="inlineStr">
        <x:is>
          <x:t xml:space="preserve">15-32</x:t>
        </x:is>
      </x:c>
      <x:c r="M94" s="4" t="inlineStr">
        <x:is>
          <x:t xml:space="preserve">yes</x:t>
        </x:is>
      </x:c>
      <x:c r="N94" s="4" t="inlineStr">
        <x:is>
          <x:t xml:space="preserve">possible via dust</x:t>
        </x:is>
      </x:c>
      <x:c r="O94" s="4" t="inlineStr">
        <x:is>
          <x:t xml:space="preserve">low to moderate</x:t>
        </x:is>
      </x:c>
      <x:c r="P94" s="4" t="inlineStr">
        <x:is>
          <x:t xml:space="preserve">possible</x:t>
        </x:is>
      </x:c>
      <x:c r="Q94" s="4" t="inlineStr">
        <x:is>
          <x:t xml:space="preserve">clean visible growth, correct moisture, remove wet porous materials if extensive</x:t>
        </x:is>
      </x:c>
      <x:c r="R94" s="4" t="inlineStr">
        <x:is>
          <x:t xml:space="preserve">patchy_growth, discoloration, moisture_associated</x:t>
        </x:is>
      </x:c>
      <x:c r="S94" s="4" t="inlineStr">
        <x:is>
          <x:t xml:space="preserve">Scolecobasidium visual group</x:t>
        </x:is>
      </x:c>
      <x:c r="T94" s="4" t="inlineStr">
        <x:is>
          <x:t xml:space="preserve">moderate</x:t>
        </x:is>
      </x:c>
      <x:c r="U94" s="4" t="inlineStr">
        <x:is>
          <x:t xml:space="preserve">common indoor / allergen potential</x:t>
        </x:is>
      </x:c>
      <x:c r="V94" s="4" t="inlineStr">
        <x:is>
          <x:t xml:space="preserve">24-48 hrs with persistent humidity</x:t>
        </x:is>
      </x:c>
      <x:c r="W94" s="4" t="inlineStr">
        <x:is>
          <x:t xml:space="preserve">air and/or surface depending on context</x:t>
        </x:is>
      </x:c>
      <x:c r="X94" s="4" t="inlineStr">
        <x:is>
          <x:t xml:space="preserve">no</x:t>
        </x:is>
      </x:c>
      <x:c r="Y94" s="4" t="inlineStr">
        <x:is>
          <x:t xml:space="preserve">white, gray, powdery, patchy</x:t>
        </x:is>
      </x:c>
      <x:c r="Z94" s="4" t="inlineStr">
        <x:is>
          <x:t xml:space="preserve">porous materials preferred; non-porous growth usually on possible via dust</x:t>
        </x:is>
      </x:c>
    </x:row>
    <x:row r="95">
      <x:c r="A95" s="4" t="inlineStr">
        <x:is>
          <x:t xml:space="preserve">Taeniolella stilbospora</x:t>
        </x:is>
      </x:c>
      <x:c r="B95" s="4" t="inlineStr">
        <x:is>
          <x:t xml:space="preserve">Taeniolella</x:t>
        </x:is>
      </x:c>
      <x:c r="C95" s="4" t="inlineStr">
        <x:is>
          <x:t xml:space="preserve">Common indoor</x:t>
        </x:is>
      </x:c>
      <x:c r="D95" s="4" t="inlineStr">
        <x:is>
          <x:t xml:space="preserve">white</x:t>
        </x:is>
      </x:c>
      <x:c r="E95" s="4" t="inlineStr">
        <x:is>
          <x:t xml:space="preserve">gray</x:t>
        </x:is>
      </x:c>
      <x:c r="F95" s="4" t="inlineStr">
        <x:is>
          <x:t xml:space="preserve">powdery</x:t>
        </x:is>
      </x:c>
      <x:c r="G95" s="4" t="inlineStr">
        <x:is>
          <x:t xml:space="preserve">patchy</x:t>
        </x:is>
      </x:c>
      <x:c r="H95" s="4" t="inlineStr">
        <x:is>
          <x:t xml:space="preserve">drywall, wood, dust</x:t>
        </x:is>
      </x:c>
      <x:c r="I95" s="4" t="inlineStr">
        <x:is>
          <x:t xml:space="preserve">bathrooms, basements, HVAC, windows</x:t>
        </x:is>
      </x:c>
      <x:c r="J95" s="4" t="inlineStr">
        <x:is>
          <x:t xml:space="preserve">moderate</x:t>
        </x:is>
      </x:c>
      <x:c r="K95" s="4" t="inlineStr">
        <x:is>
          <x:t xml:space="preserve">60+</x:t>
        </x:is>
      </x:c>
      <x:c r="L95" s="4" t="inlineStr">
        <x:is>
          <x:t xml:space="preserve">15-32</x:t>
        </x:is>
      </x:c>
      <x:c r="M95" s="4" t="inlineStr">
        <x:is>
          <x:t xml:space="preserve">yes</x:t>
        </x:is>
      </x:c>
      <x:c r="N95" s="4" t="inlineStr">
        <x:is>
          <x:t xml:space="preserve">possible via dust</x:t>
        </x:is>
      </x:c>
      <x:c r="O95" s="4" t="inlineStr">
        <x:is>
          <x:t xml:space="preserve">low to moderate</x:t>
        </x:is>
      </x:c>
      <x:c r="P95" s="4" t="inlineStr">
        <x:is>
          <x:t xml:space="preserve">possible</x:t>
        </x:is>
      </x:c>
      <x:c r="Q95" s="4" t="inlineStr">
        <x:is>
          <x:t xml:space="preserve">clean visible growth, correct moisture, remove wet porous materials if extensive</x:t>
        </x:is>
      </x:c>
      <x:c r="R95" s="4" t="inlineStr">
        <x:is>
          <x:t xml:space="preserve">patchy_growth, discoloration, moisture_associated</x:t>
        </x:is>
      </x:c>
      <x:c r="S95" s="4" t="inlineStr">
        <x:is>
          <x:t xml:space="preserve">Taeniolella visual group</x:t>
        </x:is>
      </x:c>
      <x:c r="T95" s="4" t="inlineStr">
        <x:is>
          <x:t xml:space="preserve">moderate</x:t>
        </x:is>
      </x:c>
      <x:c r="U95" s="4" t="inlineStr">
        <x:is>
          <x:t xml:space="preserve">common indoor / allergen potential</x:t>
        </x:is>
      </x:c>
      <x:c r="V95" s="4" t="inlineStr">
        <x:is>
          <x:t xml:space="preserve">24-48 hrs with persistent humidity</x:t>
        </x:is>
      </x:c>
      <x:c r="W95" s="4" t="inlineStr">
        <x:is>
          <x:t xml:space="preserve">air and/or surface depending on context</x:t>
        </x:is>
      </x:c>
      <x:c r="X95" s="4" t="inlineStr">
        <x:is>
          <x:t xml:space="preserve">no</x:t>
        </x:is>
      </x:c>
      <x:c r="Y95" s="4" t="inlineStr">
        <x:is>
          <x:t xml:space="preserve">white, gray, powdery, patchy</x:t>
        </x:is>
      </x:c>
      <x:c r="Z95" s="4" t="inlineStr">
        <x:is>
          <x:t xml:space="preserve">porous materials preferred; non-porous growth usually on possible via dust</x:t>
        </x:is>
      </x:c>
    </x:row>
    <x:row r="96">
      <x:c r="A96" s="4" t="inlineStr">
        <x:is>
          <x:t xml:space="preserve">Wangiella dermatitidis</x:t>
        </x:is>
      </x:c>
      <x:c r="B96" s="4" t="inlineStr">
        <x:is>
          <x:t xml:space="preserve">Wangiella</x:t>
        </x:is>
      </x:c>
      <x:c r="C96" s="4" t="inlineStr">
        <x:is>
          <x:t xml:space="preserve">Common indoor</x:t>
        </x:is>
      </x:c>
      <x:c r="D96" s="4" t="inlineStr">
        <x:is>
          <x:t xml:space="preserve">white</x:t>
        </x:is>
      </x:c>
      <x:c r="E96" s="4" t="inlineStr">
        <x:is>
          <x:t xml:space="preserve">gray</x:t>
        </x:is>
      </x:c>
      <x:c r="F96" s="4" t="inlineStr">
        <x:is>
          <x:t xml:space="preserve">powdery</x:t>
        </x:is>
      </x:c>
      <x:c r="G96" s="4" t="inlineStr">
        <x:is>
          <x:t xml:space="preserve">patchy</x:t>
        </x:is>
      </x:c>
      <x:c r="H96" s="4" t="inlineStr">
        <x:is>
          <x:t xml:space="preserve">drywall, wood, dust</x:t>
        </x:is>
      </x:c>
      <x:c r="I96" s="4" t="inlineStr">
        <x:is>
          <x:t xml:space="preserve">bathrooms, basements, HVAC, windows</x:t>
        </x:is>
      </x:c>
      <x:c r="J96" s="4" t="inlineStr">
        <x:is>
          <x:t xml:space="preserve">moderate</x:t>
        </x:is>
      </x:c>
      <x:c r="K96" s="4" t="inlineStr">
        <x:is>
          <x:t xml:space="preserve">60+</x:t>
        </x:is>
      </x:c>
      <x:c r="L96" s="4" t="inlineStr">
        <x:is>
          <x:t xml:space="preserve">15-32</x:t>
        </x:is>
      </x:c>
      <x:c r="M96" s="4" t="inlineStr">
        <x:is>
          <x:t xml:space="preserve">yes</x:t>
        </x:is>
      </x:c>
      <x:c r="N96" s="4" t="inlineStr">
        <x:is>
          <x:t xml:space="preserve">possible via dust</x:t>
        </x:is>
      </x:c>
      <x:c r="O96" s="4" t="inlineStr">
        <x:is>
          <x:t xml:space="preserve">low to moderate</x:t>
        </x:is>
      </x:c>
      <x:c r="P96" s="4" t="inlineStr">
        <x:is>
          <x:t xml:space="preserve">possible</x:t>
        </x:is>
      </x:c>
      <x:c r="Q96" s="4" t="inlineStr">
        <x:is>
          <x:t xml:space="preserve">clean visible growth, correct moisture, remove wet porous materials if extensive</x:t>
        </x:is>
      </x:c>
      <x:c r="R96" s="4" t="inlineStr">
        <x:is>
          <x:t xml:space="preserve">patchy_growth, discoloration, moisture_associated</x:t>
        </x:is>
      </x:c>
      <x:c r="S96" s="4" t="inlineStr">
        <x:is>
          <x:t xml:space="preserve">Wangiella visual group</x:t>
        </x:is>
      </x:c>
      <x:c r="T96" s="4" t="inlineStr">
        <x:is>
          <x:t xml:space="preserve">moderate</x:t>
        </x:is>
      </x:c>
      <x:c r="U96" s="4" t="inlineStr">
        <x:is>
          <x:t xml:space="preserve">common indoor / allergen potential</x:t>
        </x:is>
      </x:c>
      <x:c r="V96" s="4" t="inlineStr">
        <x:is>
          <x:t xml:space="preserve">24-48 hrs with persistent humidity</x:t>
        </x:is>
      </x:c>
      <x:c r="W96" s="4" t="inlineStr">
        <x:is>
          <x:t xml:space="preserve">air and/or surface depending on context</x:t>
        </x:is>
      </x:c>
      <x:c r="X96" s="4" t="inlineStr">
        <x:is>
          <x:t xml:space="preserve">no</x:t>
        </x:is>
      </x:c>
      <x:c r="Y96" s="4" t="inlineStr">
        <x:is>
          <x:t xml:space="preserve">white, gray, powdery, patchy</x:t>
        </x:is>
      </x:c>
      <x:c r="Z96" s="4" t="inlineStr">
        <x:is>
          <x:t xml:space="preserve">porous materials preferred; non-porous growth usually on possible via dust</x:t>
        </x:is>
      </x:c>
    </x:row>
    <x:row r="97">
      <x:c r="A97" s="4" t="inlineStr">
        <x:is>
          <x:t xml:space="preserve">Arthrinium saccharicola</x:t>
        </x:is>
      </x:c>
      <x:c r="B97" s="4" t="inlineStr">
        <x:is>
          <x:t xml:space="preserve">Arthrinium</x:t>
        </x:is>
      </x:c>
      <x:c r="C97" s="4" t="inlineStr">
        <x:is>
          <x:t xml:space="preserve">Common indoor</x:t>
        </x:is>
      </x:c>
      <x:c r="D97" s="4" t="inlineStr">
        <x:is>
          <x:t xml:space="preserve">white</x:t>
        </x:is>
      </x:c>
      <x:c r="E97" s="4" t="inlineStr">
        <x:is>
          <x:t xml:space="preserve">gray</x:t>
        </x:is>
      </x:c>
      <x:c r="F97" s="4" t="inlineStr">
        <x:is>
          <x:t xml:space="preserve">powdery</x:t>
        </x:is>
      </x:c>
      <x:c r="G97" s="4" t="inlineStr">
        <x:is>
          <x:t xml:space="preserve">patchy</x:t>
        </x:is>
      </x:c>
      <x:c r="H97" s="4" t="inlineStr">
        <x:is>
          <x:t xml:space="preserve">drywall, wood, dust</x:t>
        </x:is>
      </x:c>
      <x:c r="I97" s="4" t="inlineStr">
        <x:is>
          <x:t xml:space="preserve">bathrooms, basements, HVAC, windows</x:t>
        </x:is>
      </x:c>
      <x:c r="J97" s="4" t="inlineStr">
        <x:is>
          <x:t xml:space="preserve">moderate</x:t>
        </x:is>
      </x:c>
      <x:c r="K97" s="4" t="inlineStr">
        <x:is>
          <x:t xml:space="preserve">60+</x:t>
        </x:is>
      </x:c>
      <x:c r="L97" s="4" t="inlineStr">
        <x:is>
          <x:t xml:space="preserve">15-32</x:t>
        </x:is>
      </x:c>
      <x:c r="M97" s="4" t="inlineStr">
        <x:is>
          <x:t xml:space="preserve">yes</x:t>
        </x:is>
      </x:c>
      <x:c r="N97" s="4" t="inlineStr">
        <x:is>
          <x:t xml:space="preserve">possible via dust</x:t>
        </x:is>
      </x:c>
      <x:c r="O97" s="4" t="inlineStr">
        <x:is>
          <x:t xml:space="preserve">low to moderate</x:t>
        </x:is>
      </x:c>
      <x:c r="P97" s="4" t="inlineStr">
        <x:is>
          <x:t xml:space="preserve">possible</x:t>
        </x:is>
      </x:c>
      <x:c r="Q97" s="4" t="inlineStr">
        <x:is>
          <x:t xml:space="preserve">clean visible growth, correct moisture, remove wet porous materials if extensive</x:t>
        </x:is>
      </x:c>
      <x:c r="R97" s="4" t="inlineStr">
        <x:is>
          <x:t xml:space="preserve">patchy_growth, discoloration, moisture_associated</x:t>
        </x:is>
      </x:c>
      <x:c r="S97" s="4" t="inlineStr">
        <x:is>
          <x:t xml:space="preserve">Arthrinium visual group</x:t>
        </x:is>
      </x:c>
      <x:c r="T97" s="4" t="inlineStr">
        <x:is>
          <x:t xml:space="preserve">moderate</x:t>
        </x:is>
      </x:c>
      <x:c r="U97" s="4" t="inlineStr">
        <x:is>
          <x:t xml:space="preserve">common indoor / allergen potential</x:t>
        </x:is>
      </x:c>
      <x:c r="V97" s="4" t="inlineStr">
        <x:is>
          <x:t xml:space="preserve">24-48 hrs with persistent humidity</x:t>
        </x:is>
      </x:c>
      <x:c r="W97" s="4" t="inlineStr">
        <x:is>
          <x:t xml:space="preserve">air and/or surface depending on context</x:t>
        </x:is>
      </x:c>
      <x:c r="X97" s="4" t="inlineStr">
        <x:is>
          <x:t xml:space="preserve">yes</x:t>
        </x:is>
      </x:c>
      <x:c r="Y97" s="4" t="inlineStr">
        <x:is>
          <x:t xml:space="preserve">white, gray, powdery, patchy</x:t>
        </x:is>
      </x:c>
      <x:c r="Z97" s="4" t="inlineStr">
        <x:is>
          <x:t xml:space="preserve">porous materials preferred; non-porous growth usually on possible via dust</x:t>
        </x:is>
      </x:c>
    </x:row>
    <x:row r="98">
      <x:c r="A98" s="4" t="inlineStr">
        <x:is>
          <x:t xml:space="preserve">Beltrania rhombica</x:t>
        </x:is>
      </x:c>
      <x:c r="B98" s="4" t="inlineStr">
        <x:is>
          <x:t xml:space="preserve">Beltrania</x:t>
        </x:is>
      </x:c>
      <x:c r="C98" s="4" t="inlineStr">
        <x:is>
          <x:t xml:space="preserve">Common indoor</x:t>
        </x:is>
      </x:c>
      <x:c r="D98" s="4" t="inlineStr">
        <x:is>
          <x:t xml:space="preserve">white</x:t>
        </x:is>
      </x:c>
      <x:c r="E98" s="4" t="inlineStr">
        <x:is>
          <x:t xml:space="preserve">gray</x:t>
        </x:is>
      </x:c>
      <x:c r="F98" s="4" t="inlineStr">
        <x:is>
          <x:t xml:space="preserve">powdery</x:t>
        </x:is>
      </x:c>
      <x:c r="G98" s="4" t="inlineStr">
        <x:is>
          <x:t xml:space="preserve">patchy</x:t>
        </x:is>
      </x:c>
      <x:c r="H98" s="4" t="inlineStr">
        <x:is>
          <x:t xml:space="preserve">drywall, wood, dust</x:t>
        </x:is>
      </x:c>
      <x:c r="I98" s="4" t="inlineStr">
        <x:is>
          <x:t xml:space="preserve">bathrooms, basements, HVAC, windows</x:t>
        </x:is>
      </x:c>
      <x:c r="J98" s="4" t="inlineStr">
        <x:is>
          <x:t xml:space="preserve">moderate</x:t>
        </x:is>
      </x:c>
      <x:c r="K98" s="4" t="inlineStr">
        <x:is>
          <x:t xml:space="preserve">60+</x:t>
        </x:is>
      </x:c>
      <x:c r="L98" s="4" t="inlineStr">
        <x:is>
          <x:t xml:space="preserve">15-32</x:t>
        </x:is>
      </x:c>
      <x:c r="M98" s="4" t="inlineStr">
        <x:is>
          <x:t xml:space="preserve">yes</x:t>
        </x:is>
      </x:c>
      <x:c r="N98" s="4" t="inlineStr">
        <x:is>
          <x:t xml:space="preserve">possible via dust</x:t>
        </x:is>
      </x:c>
      <x:c r="O98" s="4" t="inlineStr">
        <x:is>
          <x:t xml:space="preserve">low to moderate</x:t>
        </x:is>
      </x:c>
      <x:c r="P98" s="4" t="inlineStr">
        <x:is>
          <x:t xml:space="preserve">possible</x:t>
        </x:is>
      </x:c>
      <x:c r="Q98" s="4" t="inlineStr">
        <x:is>
          <x:t xml:space="preserve">clean visible growth, correct moisture, remove wet porous materials if extensive</x:t>
        </x:is>
      </x:c>
      <x:c r="R98" s="4" t="inlineStr">
        <x:is>
          <x:t xml:space="preserve">patchy_growth, discoloration, moisture_associated</x:t>
        </x:is>
      </x:c>
      <x:c r="S98" s="4" t="inlineStr">
        <x:is>
          <x:t xml:space="preserve">Beltrania visual group</x:t>
        </x:is>
      </x:c>
      <x:c r="T98" s="4" t="inlineStr">
        <x:is>
          <x:t xml:space="preserve">moderate</x:t>
        </x:is>
      </x:c>
      <x:c r="U98" s="4" t="inlineStr">
        <x:is>
          <x:t xml:space="preserve">common indoor / allergen potential</x:t>
        </x:is>
      </x:c>
      <x:c r="V98" s="4" t="inlineStr">
        <x:is>
          <x:t xml:space="preserve">24-48 hrs with persistent humidity</x:t>
        </x:is>
      </x:c>
      <x:c r="W98" s="4" t="inlineStr">
        <x:is>
          <x:t xml:space="preserve">air and/or surface depending on context</x:t>
        </x:is>
      </x:c>
      <x:c r="X98" s="4" t="inlineStr">
        <x:is>
          <x:t xml:space="preserve">no</x:t>
        </x:is>
      </x:c>
      <x:c r="Y98" s="4" t="inlineStr">
        <x:is>
          <x:t xml:space="preserve">white, gray, powdery, patchy</x:t>
        </x:is>
      </x:c>
      <x:c r="Z98" s="4" t="inlineStr">
        <x:is>
          <x:t xml:space="preserve">porous materials preferred; non-porous growth usually on possible via dust</x:t>
        </x:is>
      </x:c>
    </x:row>
    <x:row r="99">
      <x:c r="A99" s="4" t="inlineStr">
        <x:is>
          <x:t xml:space="preserve">Basidiobolus ranarum</x:t>
        </x:is>
      </x:c>
      <x:c r="B99" s="4" t="inlineStr">
        <x:is>
          <x:t xml:space="preserve">Basidiobolus</x:t>
        </x:is>
      </x:c>
      <x:c r="C99" s="4" t="inlineStr">
        <x:is>
          <x:t xml:space="preserve">Common indoor</x:t>
        </x:is>
      </x:c>
      <x:c r="D99" s="4" t="inlineStr">
        <x:is>
          <x:t xml:space="preserve">white</x:t>
        </x:is>
      </x:c>
      <x:c r="E99" s="4" t="inlineStr">
        <x:is>
          <x:t xml:space="preserve">gray</x:t>
        </x:is>
      </x:c>
      <x:c r="F99" s="4" t="inlineStr">
        <x:is>
          <x:t xml:space="preserve">powdery</x:t>
        </x:is>
      </x:c>
      <x:c r="G99" s="4" t="inlineStr">
        <x:is>
          <x:t xml:space="preserve">patchy</x:t>
        </x:is>
      </x:c>
      <x:c r="H99" s="4" t="inlineStr">
        <x:is>
          <x:t xml:space="preserve">drywall, wood, dust</x:t>
        </x:is>
      </x:c>
      <x:c r="I99" s="4" t="inlineStr">
        <x:is>
          <x:t xml:space="preserve">bathrooms, basements, HVAC, windows</x:t>
        </x:is>
      </x:c>
      <x:c r="J99" s="4" t="inlineStr">
        <x:is>
          <x:t xml:space="preserve">moderate</x:t>
        </x:is>
      </x:c>
      <x:c r="K99" s="4" t="inlineStr">
        <x:is>
          <x:t xml:space="preserve">60+</x:t>
        </x:is>
      </x:c>
      <x:c r="L99" s="4" t="inlineStr">
        <x:is>
          <x:t xml:space="preserve">15-32</x:t>
        </x:is>
      </x:c>
      <x:c r="M99" s="4" t="inlineStr">
        <x:is>
          <x:t xml:space="preserve">yes</x:t>
        </x:is>
      </x:c>
      <x:c r="N99" s="4" t="inlineStr">
        <x:is>
          <x:t xml:space="preserve">possible via dust</x:t>
        </x:is>
      </x:c>
      <x:c r="O99" s="4" t="inlineStr">
        <x:is>
          <x:t xml:space="preserve">low to moderate</x:t>
        </x:is>
      </x:c>
      <x:c r="P99" s="4" t="inlineStr">
        <x:is>
          <x:t xml:space="preserve">possible</x:t>
        </x:is>
      </x:c>
      <x:c r="Q99" s="4" t="inlineStr">
        <x:is>
          <x:t xml:space="preserve">clean visible growth, correct moisture, remove wet porous materials if extensive</x:t>
        </x:is>
      </x:c>
      <x:c r="R99" s="4" t="inlineStr">
        <x:is>
          <x:t xml:space="preserve">patchy_growth, discoloration, moisture_associated</x:t>
        </x:is>
      </x:c>
      <x:c r="S99" s="4" t="inlineStr">
        <x:is>
          <x:t xml:space="preserve">Basidiobolus visual group</x:t>
        </x:is>
      </x:c>
      <x:c r="T99" s="4" t="inlineStr">
        <x:is>
          <x:t xml:space="preserve">moderate</x:t>
        </x:is>
      </x:c>
      <x:c r="U99" s="4" t="inlineStr">
        <x:is>
          <x:t xml:space="preserve">common indoor / allergen potential</x:t>
        </x:is>
      </x:c>
      <x:c r="V99" s="4" t="inlineStr">
        <x:is>
          <x:t xml:space="preserve">24-48 hrs with persistent humidity</x:t>
        </x:is>
      </x:c>
      <x:c r="W99" s="4" t="inlineStr">
        <x:is>
          <x:t xml:space="preserve">air and/or surface depending on context</x:t>
        </x:is>
      </x:c>
      <x:c r="X99" s="4" t="inlineStr">
        <x:is>
          <x:t xml:space="preserve">no</x:t>
        </x:is>
      </x:c>
      <x:c r="Y99" s="4" t="inlineStr">
        <x:is>
          <x:t xml:space="preserve">white, gray, powdery, patchy</x:t>
        </x:is>
      </x:c>
      <x:c r="Z99" s="4" t="inlineStr">
        <x:is>
          <x:t xml:space="preserve">porous materials preferred; non-porous growth usually on possible via dust</x:t>
        </x:is>
      </x:c>
    </x:row>
    <x:row r="100">
      <x:c r="A100" s="4" t="inlineStr">
        <x:is>
          <x:t xml:space="preserve">Botryotrichum piluliferum</x:t>
        </x:is>
      </x:c>
      <x:c r="B100" s="4" t="inlineStr">
        <x:is>
          <x:t xml:space="preserve">Botryotrichum</x:t>
        </x:is>
      </x:c>
      <x:c r="C100" s="4" t="inlineStr">
        <x:is>
          <x:t xml:space="preserve">Common indoor</x:t>
        </x:is>
      </x:c>
      <x:c r="D100" s="4" t="inlineStr">
        <x:is>
          <x:t xml:space="preserve">white</x:t>
        </x:is>
      </x:c>
      <x:c r="E100" s="4" t="inlineStr">
        <x:is>
          <x:t xml:space="preserve">gray</x:t>
        </x:is>
      </x:c>
      <x:c r="F100" s="4" t="inlineStr">
        <x:is>
          <x:t xml:space="preserve">powdery</x:t>
        </x:is>
      </x:c>
      <x:c r="G100" s="4" t="inlineStr">
        <x:is>
          <x:t xml:space="preserve">patchy</x:t>
        </x:is>
      </x:c>
      <x:c r="H100" s="4" t="inlineStr">
        <x:is>
          <x:t xml:space="preserve">drywall, wood, dust</x:t>
        </x:is>
      </x:c>
      <x:c r="I100" s="4" t="inlineStr">
        <x:is>
          <x:t xml:space="preserve">bathrooms, basements, HVAC, windows</x:t>
        </x:is>
      </x:c>
      <x:c r="J100" s="4" t="inlineStr">
        <x:is>
          <x:t xml:space="preserve">moderate</x:t>
        </x:is>
      </x:c>
      <x:c r="K100" s="4" t="inlineStr">
        <x:is>
          <x:t xml:space="preserve">60+</x:t>
        </x:is>
      </x:c>
      <x:c r="L100" s="4" t="inlineStr">
        <x:is>
          <x:t xml:space="preserve">15-32</x:t>
        </x:is>
      </x:c>
      <x:c r="M100" s="4" t="inlineStr">
        <x:is>
          <x:t xml:space="preserve">yes</x:t>
        </x:is>
      </x:c>
      <x:c r="N100" s="4" t="inlineStr">
        <x:is>
          <x:t xml:space="preserve">possible via dust</x:t>
        </x:is>
      </x:c>
      <x:c r="O100" s="4" t="inlineStr">
        <x:is>
          <x:t xml:space="preserve">low to moderate</x:t>
        </x:is>
      </x:c>
      <x:c r="P100" s="4" t="inlineStr">
        <x:is>
          <x:t xml:space="preserve">possible</x:t>
        </x:is>
      </x:c>
      <x:c r="Q100" s="4" t="inlineStr">
        <x:is>
          <x:t xml:space="preserve">clean visible growth, correct moisture, remove wet porous materials if extensive</x:t>
        </x:is>
      </x:c>
      <x:c r="R100" s="4" t="inlineStr">
        <x:is>
          <x:t xml:space="preserve">patchy_growth, discoloration, moisture_associated</x:t>
        </x:is>
      </x:c>
      <x:c r="S100" s="4" t="inlineStr">
        <x:is>
          <x:t xml:space="preserve">Botryotrichum visual group</x:t>
        </x:is>
      </x:c>
      <x:c r="T100" s="4" t="inlineStr">
        <x:is>
          <x:t xml:space="preserve">moderate</x:t>
        </x:is>
      </x:c>
      <x:c r="U100" s="4" t="inlineStr">
        <x:is>
          <x:t xml:space="preserve">common indoor / allergen potential</x:t>
        </x:is>
      </x:c>
      <x:c r="V100" s="4" t="inlineStr">
        <x:is>
          <x:t xml:space="preserve">24-48 hrs with persistent humidity</x:t>
        </x:is>
      </x:c>
      <x:c r="W100" s="4" t="inlineStr">
        <x:is>
          <x:t xml:space="preserve">air and/or surface depending on context</x:t>
        </x:is>
      </x:c>
      <x:c r="X100" s="4" t="inlineStr">
        <x:is>
          <x:t xml:space="preserve">no</x:t>
        </x:is>
      </x:c>
      <x:c r="Y100" s="4" t="inlineStr">
        <x:is>
          <x:t xml:space="preserve">white, gray, powdery, patchy</x:t>
        </x:is>
      </x:c>
      <x:c r="Z100" s="4" t="inlineStr">
        <x:is>
          <x:t xml:space="preserve">porous materials preferred; non-porous growth usually on possible via dust</x:t>
        </x:is>
      </x:c>
    </x:row>
    <x:row r="101">
      <x:c r="A101" s="4" t="inlineStr">
        <x:is>
          <x:t xml:space="preserve">Gliocladium virens</x:t>
        </x:is>
      </x:c>
      <x:c r="B101" s="4" t="inlineStr">
        <x:is>
          <x:t xml:space="preserve">Gliocladium</x:t>
        </x:is>
      </x:c>
      <x:c r="C101" s="4" t="inlineStr">
        <x:is>
          <x:t xml:space="preserve">Common indoor</x:t>
        </x:is>
      </x:c>
      <x:c r="D101" s="4" t="inlineStr">
        <x:is>
          <x:t xml:space="preserve">white</x:t>
        </x:is>
      </x:c>
      <x:c r="E101" s="4" t="inlineStr">
        <x:is>
          <x:t xml:space="preserve">gray</x:t>
        </x:is>
      </x:c>
      <x:c r="F101" s="4" t="inlineStr">
        <x:is>
          <x:t xml:space="preserve">powdery</x:t>
        </x:is>
      </x:c>
      <x:c r="G101" s="4" t="inlineStr">
        <x:is>
          <x:t xml:space="preserve">patchy</x:t>
        </x:is>
      </x:c>
      <x:c r="H101" s="4" t="inlineStr">
        <x:is>
          <x:t xml:space="preserve">drywall, wood, dust</x:t>
        </x:is>
      </x:c>
      <x:c r="I101" s="4" t="inlineStr">
        <x:is>
          <x:t xml:space="preserve">bathrooms, basements, HVAC, windows</x:t>
        </x:is>
      </x:c>
      <x:c r="J101" s="4" t="inlineStr">
        <x:is>
          <x:t xml:space="preserve">moderate</x:t>
        </x:is>
      </x:c>
      <x:c r="K101" s="4" t="inlineStr">
        <x:is>
          <x:t xml:space="preserve">60+</x:t>
        </x:is>
      </x:c>
      <x:c r="L101" s="4" t="inlineStr">
        <x:is>
          <x:t xml:space="preserve">15-32</x:t>
        </x:is>
      </x:c>
      <x:c r="M101" s="4" t="inlineStr">
        <x:is>
          <x:t xml:space="preserve">yes</x:t>
        </x:is>
      </x:c>
      <x:c r="N101" s="4" t="inlineStr">
        <x:is>
          <x:t xml:space="preserve">possible via dust</x:t>
        </x:is>
      </x:c>
      <x:c r="O101" s="4" t="inlineStr">
        <x:is>
          <x:t xml:space="preserve">low to moderate</x:t>
        </x:is>
      </x:c>
      <x:c r="P101" s="4" t="inlineStr">
        <x:is>
          <x:t xml:space="preserve">possible</x:t>
        </x:is>
      </x:c>
      <x:c r="Q101" s="4" t="inlineStr">
        <x:is>
          <x:t xml:space="preserve">clean visible growth, correct moisture, remove wet porous materials if extensive</x:t>
        </x:is>
      </x:c>
      <x:c r="R101" s="4" t="inlineStr">
        <x:is>
          <x:t xml:space="preserve">patchy_growth, discoloration, moisture_associated</x:t>
        </x:is>
      </x:c>
      <x:c r="S101" s="4" t="inlineStr">
        <x:is>
          <x:t xml:space="preserve">Aspergillus/Penicillium-like</x:t>
        </x:is>
      </x:c>
      <x:c r="T101" s="4" t="inlineStr">
        <x:is>
          <x:t xml:space="preserve">low-to-moderate</x:t>
        </x:is>
      </x:c>
      <x:c r="U101" s="4" t="inlineStr">
        <x:is>
          <x:t xml:space="preserve">common indoor / allergen potential</x:t>
        </x:is>
      </x:c>
      <x:c r="V101" s="4" t="inlineStr">
        <x:is>
          <x:t xml:space="preserve">24-48 hrs with persistent humidity</x:t>
        </x:is>
      </x:c>
      <x:c r="W101" s="4" t="inlineStr">
        <x:is>
          <x:t xml:space="preserve">air + surface/bulk</x:t>
        </x:is>
      </x:c>
      <x:c r="X101" s="4" t="inlineStr">
        <x:is>
          <x:t xml:space="preserve">no</x:t>
        </x:is>
      </x:c>
      <x:c r="Y101" s="4" t="inlineStr">
        <x:is>
          <x:t xml:space="preserve">white, gray, powdery, patchy</x:t>
        </x:is>
      </x:c>
      <x:c r="Z101" s="4" t="inlineStr">
        <x:is>
          <x:t xml:space="preserve">porous materials preferred; non-porous growth usually on possible via dust</x:t>
        </x:is>
      </x:c>
    </x:row>
    <x:row r="102">
      <x:c r="A102" s="4" t="inlineStr">
        <x:is>
          <x:t xml:space="preserve">Gliomastix murorum</x:t>
        </x:is>
      </x:c>
      <x:c r="B102" s="4" t="inlineStr">
        <x:is>
          <x:t xml:space="preserve">Gliomastix</x:t>
        </x:is>
      </x:c>
      <x:c r="C102" s="4" t="inlineStr">
        <x:is>
          <x:t xml:space="preserve">Common indoor</x:t>
        </x:is>
      </x:c>
      <x:c r="D102" s="4" t="inlineStr">
        <x:is>
          <x:t xml:space="preserve">white</x:t>
        </x:is>
      </x:c>
      <x:c r="E102" s="4" t="inlineStr">
        <x:is>
          <x:t xml:space="preserve">gray</x:t>
        </x:is>
      </x:c>
      <x:c r="F102" s="4" t="inlineStr">
        <x:is>
          <x:t xml:space="preserve">powdery</x:t>
        </x:is>
      </x:c>
      <x:c r="G102" s="4" t="inlineStr">
        <x:is>
          <x:t xml:space="preserve">patchy</x:t>
        </x:is>
      </x:c>
      <x:c r="H102" s="4" t="inlineStr">
        <x:is>
          <x:t xml:space="preserve">drywall, wood, dust</x:t>
        </x:is>
      </x:c>
      <x:c r="I102" s="4" t="inlineStr">
        <x:is>
          <x:t xml:space="preserve">bathrooms, basements, HVAC, windows</x:t>
        </x:is>
      </x:c>
      <x:c r="J102" s="4" t="inlineStr">
        <x:is>
          <x:t xml:space="preserve">moderate</x:t>
        </x:is>
      </x:c>
      <x:c r="K102" s="4" t="inlineStr">
        <x:is>
          <x:t xml:space="preserve">60+</x:t>
        </x:is>
      </x:c>
      <x:c r="L102" s="4" t="inlineStr">
        <x:is>
          <x:t xml:space="preserve">15-32</x:t>
        </x:is>
      </x:c>
      <x:c r="M102" s="4" t="inlineStr">
        <x:is>
          <x:t xml:space="preserve">yes</x:t>
        </x:is>
      </x:c>
      <x:c r="N102" s="4" t="inlineStr">
        <x:is>
          <x:t xml:space="preserve">possible via dust</x:t>
        </x:is>
      </x:c>
      <x:c r="O102" s="4" t="inlineStr">
        <x:is>
          <x:t xml:space="preserve">low to moderate</x:t>
        </x:is>
      </x:c>
      <x:c r="P102" s="4" t="inlineStr">
        <x:is>
          <x:t xml:space="preserve">possible</x:t>
        </x:is>
      </x:c>
      <x:c r="Q102" s="4" t="inlineStr">
        <x:is>
          <x:t xml:space="preserve">clean visible growth, correct moisture, remove wet porous materials if extensive</x:t>
        </x:is>
      </x:c>
      <x:c r="R102" s="4" t="inlineStr">
        <x:is>
          <x:t xml:space="preserve">patchy_growth, discoloration, moisture_associated</x:t>
        </x:is>
      </x:c>
      <x:c r="S102" s="4" t="inlineStr">
        <x:is>
          <x:t xml:space="preserve">Gliomastix visual group</x:t>
        </x:is>
      </x:c>
      <x:c r="T102" s="4" t="inlineStr">
        <x:is>
          <x:t xml:space="preserve">moderate</x:t>
        </x:is>
      </x:c>
      <x:c r="U102" s="4" t="inlineStr">
        <x:is>
          <x:t xml:space="preserve">common indoor / allergen potential</x:t>
        </x:is>
      </x:c>
      <x:c r="V102" s="4" t="inlineStr">
        <x:is>
          <x:t xml:space="preserve">24-48 hrs with persistent humidity</x:t>
        </x:is>
      </x:c>
      <x:c r="W102" s="4" t="inlineStr">
        <x:is>
          <x:t xml:space="preserve">air and/or surface depending on context</x:t>
        </x:is>
      </x:c>
      <x:c r="X102" s="4" t="inlineStr">
        <x:is>
          <x:t xml:space="preserve">no</x:t>
        </x:is>
      </x:c>
      <x:c r="Y102" s="4" t="inlineStr">
        <x:is>
          <x:t xml:space="preserve">white, gray, powdery, patchy</x:t>
        </x:is>
      </x:c>
      <x:c r="Z102" s="4" t="inlineStr">
        <x:is>
          <x:t xml:space="preserve">porous materials preferred; non-porous growth usually on possible via dust</x:t>
        </x:is>
      </x:c>
    </x:row>
    <x:row r="103">
      <x:c r="A103" s="4" t="inlineStr">
        <x:is>
          <x:t xml:space="preserve">Geomyces pannorum</x:t>
        </x:is>
      </x:c>
      <x:c r="B103" s="4" t="inlineStr">
        <x:is>
          <x:t xml:space="preserve">Geomyces</x:t>
        </x:is>
      </x:c>
      <x:c r="C103" s="4" t="inlineStr">
        <x:is>
          <x:t xml:space="preserve">Common indoor</x:t>
        </x:is>
      </x:c>
      <x:c r="D103" s="4" t="inlineStr">
        <x:is>
          <x:t xml:space="preserve">white</x:t>
        </x:is>
      </x:c>
      <x:c r="E103" s="4" t="inlineStr">
        <x:is>
          <x:t xml:space="preserve">gray</x:t>
        </x:is>
      </x:c>
      <x:c r="F103" s="4" t="inlineStr">
        <x:is>
          <x:t xml:space="preserve">powdery</x:t>
        </x:is>
      </x:c>
      <x:c r="G103" s="4" t="inlineStr">
        <x:is>
          <x:t xml:space="preserve">patchy</x:t>
        </x:is>
      </x:c>
      <x:c r="H103" s="4" t="inlineStr">
        <x:is>
          <x:t xml:space="preserve">drywall, wood, dust</x:t>
        </x:is>
      </x:c>
      <x:c r="I103" s="4" t="inlineStr">
        <x:is>
          <x:t xml:space="preserve">bathrooms, basements, HVAC, windows</x:t>
        </x:is>
      </x:c>
      <x:c r="J103" s="4" t="inlineStr">
        <x:is>
          <x:t xml:space="preserve">moderate</x:t>
        </x:is>
      </x:c>
      <x:c r="K103" s="4" t="inlineStr">
        <x:is>
          <x:t xml:space="preserve">60+</x:t>
        </x:is>
      </x:c>
      <x:c r="L103" s="4" t="inlineStr">
        <x:is>
          <x:t xml:space="preserve">15-32</x:t>
        </x:is>
      </x:c>
      <x:c r="M103" s="4" t="inlineStr">
        <x:is>
          <x:t xml:space="preserve">yes</x:t>
        </x:is>
      </x:c>
      <x:c r="N103" s="4" t="inlineStr">
        <x:is>
          <x:t xml:space="preserve">possible via dust</x:t>
        </x:is>
      </x:c>
      <x:c r="O103" s="4" t="inlineStr">
        <x:is>
          <x:t xml:space="preserve">low to moderate</x:t>
        </x:is>
      </x:c>
      <x:c r="P103" s="4" t="inlineStr">
        <x:is>
          <x:t xml:space="preserve">possible</x:t>
        </x:is>
      </x:c>
      <x:c r="Q103" s="4" t="inlineStr">
        <x:is>
          <x:t xml:space="preserve">clean visible growth, correct moisture, remove wet porous materials if extensive</x:t>
        </x:is>
      </x:c>
      <x:c r="R103" s="4" t="inlineStr">
        <x:is>
          <x:t xml:space="preserve">patchy_growth, discoloration, moisture_associated</x:t>
        </x:is>
      </x:c>
      <x:c r="S103" s="4" t="inlineStr">
        <x:is>
          <x:t xml:space="preserve">Geomyces visual group</x:t>
        </x:is>
      </x:c>
      <x:c r="T103" s="4" t="inlineStr">
        <x:is>
          <x:t xml:space="preserve">moderate</x:t>
        </x:is>
      </x:c>
      <x:c r="U103" s="4" t="inlineStr">
        <x:is>
          <x:t xml:space="preserve">common indoor / allergen potential</x:t>
        </x:is>
      </x:c>
      <x:c r="V103" s="4" t="inlineStr">
        <x:is>
          <x:t xml:space="preserve">24-48 hrs with persistent humidity</x:t>
        </x:is>
      </x:c>
      <x:c r="W103" s="4" t="inlineStr">
        <x:is>
          <x:t xml:space="preserve">air and/or surface depending on context</x:t>
        </x:is>
      </x:c>
      <x:c r="X103" s="4" t="inlineStr">
        <x:is>
          <x:t xml:space="preserve">no</x:t>
        </x:is>
      </x:c>
      <x:c r="Y103" s="4" t="inlineStr">
        <x:is>
          <x:t xml:space="preserve">white, gray, powdery, patchy</x:t>
        </x:is>
      </x:c>
      <x:c r="Z103" s="4" t="inlineStr">
        <x:is>
          <x:t xml:space="preserve">porous materials preferred; non-porous growth usually on possible via dust</x:t>
        </x:is>
      </x:c>
    </x:row>
    <x:row r="104">
      <x:c r="A104" s="4" t="inlineStr">
        <x:is>
          <x:t xml:space="preserve">Helminthosporium solani</x:t>
        </x:is>
      </x:c>
      <x:c r="B104" s="4" t="inlineStr">
        <x:is>
          <x:t xml:space="preserve">Helminthosporium</x:t>
        </x:is>
      </x:c>
      <x:c r="C104" s="4" t="inlineStr">
        <x:is>
          <x:t xml:space="preserve">Common indoor</x:t>
        </x:is>
      </x:c>
      <x:c r="D104" s="4" t="inlineStr">
        <x:is>
          <x:t xml:space="preserve">white</x:t>
        </x:is>
      </x:c>
      <x:c r="E104" s="4" t="inlineStr">
        <x:is>
          <x:t xml:space="preserve">gray</x:t>
        </x:is>
      </x:c>
      <x:c r="F104" s="4" t="inlineStr">
        <x:is>
          <x:t xml:space="preserve">powdery</x:t>
        </x:is>
      </x:c>
      <x:c r="G104" s="4" t="inlineStr">
        <x:is>
          <x:t xml:space="preserve">patchy</x:t>
        </x:is>
      </x:c>
      <x:c r="H104" s="4" t="inlineStr">
        <x:is>
          <x:t xml:space="preserve">drywall, wood, dust</x:t>
        </x:is>
      </x:c>
      <x:c r="I104" s="4" t="inlineStr">
        <x:is>
          <x:t xml:space="preserve">bathrooms, basements, HVAC, windows</x:t>
        </x:is>
      </x:c>
      <x:c r="J104" s="4" t="inlineStr">
        <x:is>
          <x:t xml:space="preserve">moderate</x:t>
        </x:is>
      </x:c>
      <x:c r="K104" s="4" t="inlineStr">
        <x:is>
          <x:t xml:space="preserve">60+</x:t>
        </x:is>
      </x:c>
      <x:c r="L104" s="4" t="inlineStr">
        <x:is>
          <x:t xml:space="preserve">15-32</x:t>
        </x:is>
      </x:c>
      <x:c r="M104" s="4" t="inlineStr">
        <x:is>
          <x:t xml:space="preserve">yes</x:t>
        </x:is>
      </x:c>
      <x:c r="N104" s="4" t="inlineStr">
        <x:is>
          <x:t xml:space="preserve">possible via dust</x:t>
        </x:is>
      </x:c>
      <x:c r="O104" s="4" t="inlineStr">
        <x:is>
          <x:t xml:space="preserve">low to moderate</x:t>
        </x:is>
      </x:c>
      <x:c r="P104" s="4" t="inlineStr">
        <x:is>
          <x:t xml:space="preserve">possible</x:t>
        </x:is>
      </x:c>
      <x:c r="Q104" s="4" t="inlineStr">
        <x:is>
          <x:t xml:space="preserve">clean visible growth, correct moisture, remove wet porous materials if extensive</x:t>
        </x:is>
      </x:c>
      <x:c r="R104" s="4" t="inlineStr">
        <x:is>
          <x:t xml:space="preserve">patchy_growth, discoloration, moisture_associated</x:t>
        </x:is>
      </x:c>
      <x:c r="S104" s="4" t="inlineStr">
        <x:is>
          <x:t xml:space="preserve">Helminthosporium visual group</x:t>
        </x:is>
      </x:c>
      <x:c r="T104" s="4" t="inlineStr">
        <x:is>
          <x:t xml:space="preserve">moderate</x:t>
        </x:is>
      </x:c>
      <x:c r="U104" s="4" t="inlineStr">
        <x:is>
          <x:t xml:space="preserve">common indoor / allergen potential</x:t>
        </x:is>
      </x:c>
      <x:c r="V104" s="4" t="inlineStr">
        <x:is>
          <x:t xml:space="preserve">24-48 hrs with persistent humidity</x:t>
        </x:is>
      </x:c>
      <x:c r="W104" s="4" t="inlineStr">
        <x:is>
          <x:t xml:space="preserve">air and/or surface depending on context</x:t>
        </x:is>
      </x:c>
      <x:c r="X104" s="4" t="inlineStr">
        <x:is>
          <x:t xml:space="preserve">no</x:t>
        </x:is>
      </x:c>
      <x:c r="Y104" s="4" t="inlineStr">
        <x:is>
          <x:t xml:space="preserve">white, gray, powdery, patchy</x:t>
        </x:is>
      </x:c>
      <x:c r="Z104" s="4" t="inlineStr">
        <x:is>
          <x:t xml:space="preserve">porous materials preferred; non-porous growth usually on possible via dust</x:t>
        </x:is>
      </x:c>
    </x:row>
    <x:row r="105">
      <x:c r="A105" s="4" t="inlineStr">
        <x:is>
          <x:t xml:space="preserve">Hormodendrum hordei</x:t>
        </x:is>
      </x:c>
      <x:c r="B105" s="4" t="inlineStr">
        <x:is>
          <x:t xml:space="preserve">Hormodendrum</x:t>
        </x:is>
      </x:c>
      <x:c r="C105" s="4" t="inlineStr">
        <x:is>
          <x:t xml:space="preserve">Common indoor</x:t>
        </x:is>
      </x:c>
      <x:c r="D105" s="4" t="inlineStr">
        <x:is>
          <x:t xml:space="preserve">white</x:t>
        </x:is>
      </x:c>
      <x:c r="E105" s="4" t="inlineStr">
        <x:is>
          <x:t xml:space="preserve">gray</x:t>
        </x:is>
      </x:c>
      <x:c r="F105" s="4" t="inlineStr">
        <x:is>
          <x:t xml:space="preserve">powdery</x:t>
        </x:is>
      </x:c>
      <x:c r="G105" s="4" t="inlineStr">
        <x:is>
          <x:t xml:space="preserve">patchy</x:t>
        </x:is>
      </x:c>
      <x:c r="H105" s="4" t="inlineStr">
        <x:is>
          <x:t xml:space="preserve">drywall, wood, dust</x:t>
        </x:is>
      </x:c>
      <x:c r="I105" s="4" t="inlineStr">
        <x:is>
          <x:t xml:space="preserve">bathrooms, basements, HVAC, windows</x:t>
        </x:is>
      </x:c>
      <x:c r="J105" s="4" t="inlineStr">
        <x:is>
          <x:t xml:space="preserve">moderate</x:t>
        </x:is>
      </x:c>
      <x:c r="K105" s="4" t="inlineStr">
        <x:is>
          <x:t xml:space="preserve">60+</x:t>
        </x:is>
      </x:c>
      <x:c r="L105" s="4" t="inlineStr">
        <x:is>
          <x:t xml:space="preserve">15-32</x:t>
        </x:is>
      </x:c>
      <x:c r="M105" s="4" t="inlineStr">
        <x:is>
          <x:t xml:space="preserve">yes</x:t>
        </x:is>
      </x:c>
      <x:c r="N105" s="4" t="inlineStr">
        <x:is>
          <x:t xml:space="preserve">possible via dust</x:t>
        </x:is>
      </x:c>
      <x:c r="O105" s="4" t="inlineStr">
        <x:is>
          <x:t xml:space="preserve">low to moderate</x:t>
        </x:is>
      </x:c>
      <x:c r="P105" s="4" t="inlineStr">
        <x:is>
          <x:t xml:space="preserve">possible</x:t>
        </x:is>
      </x:c>
      <x:c r="Q105" s="4" t="inlineStr">
        <x:is>
          <x:t xml:space="preserve">clean visible growth, correct moisture, remove wet porous materials if extensive</x:t>
        </x:is>
      </x:c>
      <x:c r="R105" s="4" t="inlineStr">
        <x:is>
          <x:t xml:space="preserve">patchy_growth, discoloration, moisture_associated</x:t>
        </x:is>
      </x:c>
      <x:c r="S105" s="4" t="inlineStr">
        <x:is>
          <x:t xml:space="preserve">Hormodendrum visual group</x:t>
        </x:is>
      </x:c>
      <x:c r="T105" s="4" t="inlineStr">
        <x:is>
          <x:t xml:space="preserve">moderate</x:t>
        </x:is>
      </x:c>
      <x:c r="U105" s="4" t="inlineStr">
        <x:is>
          <x:t xml:space="preserve">common indoor / allergen potential</x:t>
        </x:is>
      </x:c>
      <x:c r="V105" s="4" t="inlineStr">
        <x:is>
          <x:t xml:space="preserve">24-48 hrs with persistent humidity</x:t>
        </x:is>
      </x:c>
      <x:c r="W105" s="4" t="inlineStr">
        <x:is>
          <x:t xml:space="preserve">air and/or surface depending on context</x:t>
        </x:is>
      </x:c>
      <x:c r="X105" s="4" t="inlineStr">
        <x:is>
          <x:t xml:space="preserve">no</x:t>
        </x:is>
      </x:c>
      <x:c r="Y105" s="4" t="inlineStr">
        <x:is>
          <x:t xml:space="preserve">white, gray, powdery, patchy</x:t>
        </x:is>
      </x:c>
      <x:c r="Z105" s="4" t="inlineStr">
        <x:is>
          <x:t xml:space="preserve">porous materials preferred; non-porous growth usually on possible via dust</x:t>
        </x:is>
      </x:c>
    </x:row>
    <x:row r="106">
      <x:c r="A106" s="4" t="inlineStr">
        <x:is>
          <x:t xml:space="preserve">Neosartorya fischeri</x:t>
        </x:is>
      </x:c>
      <x:c r="B106" s="4" t="inlineStr">
        <x:is>
          <x:t xml:space="preserve">Neosartorya</x:t>
        </x:is>
      </x:c>
      <x:c r="C106" s="4" t="inlineStr">
        <x:is>
          <x:t xml:space="preserve">Common indoor</x:t>
        </x:is>
      </x:c>
      <x:c r="D106" s="4" t="inlineStr">
        <x:is>
          <x:t xml:space="preserve">white</x:t>
        </x:is>
      </x:c>
      <x:c r="E106" s="4" t="inlineStr">
        <x:is>
          <x:t xml:space="preserve">gray</x:t>
        </x:is>
      </x:c>
      <x:c r="F106" s="4" t="inlineStr">
        <x:is>
          <x:t xml:space="preserve">powdery</x:t>
        </x:is>
      </x:c>
      <x:c r="G106" s="4" t="inlineStr">
        <x:is>
          <x:t xml:space="preserve">patchy</x:t>
        </x:is>
      </x:c>
      <x:c r="H106" s="4" t="inlineStr">
        <x:is>
          <x:t xml:space="preserve">drywall, wood, dust</x:t>
        </x:is>
      </x:c>
      <x:c r="I106" s="4" t="inlineStr">
        <x:is>
          <x:t xml:space="preserve">bathrooms, basements, HVAC, windows</x:t>
        </x:is>
      </x:c>
      <x:c r="J106" s="4" t="inlineStr">
        <x:is>
          <x:t xml:space="preserve">moderate</x:t>
        </x:is>
      </x:c>
      <x:c r="K106" s="4" t="inlineStr">
        <x:is>
          <x:t xml:space="preserve">60+</x:t>
        </x:is>
      </x:c>
      <x:c r="L106" s="4" t="inlineStr">
        <x:is>
          <x:t xml:space="preserve">15-32</x:t>
        </x:is>
      </x:c>
      <x:c r="M106" s="4" t="inlineStr">
        <x:is>
          <x:t xml:space="preserve">yes</x:t>
        </x:is>
      </x:c>
      <x:c r="N106" s="4" t="inlineStr">
        <x:is>
          <x:t xml:space="preserve">possible via dust</x:t>
        </x:is>
      </x:c>
      <x:c r="O106" s="4" t="inlineStr">
        <x:is>
          <x:t xml:space="preserve">low to moderate</x:t>
        </x:is>
      </x:c>
      <x:c r="P106" s="4" t="inlineStr">
        <x:is>
          <x:t xml:space="preserve">possible</x:t>
        </x:is>
      </x:c>
      <x:c r="Q106" s="4" t="inlineStr">
        <x:is>
          <x:t xml:space="preserve">clean visible growth, correct moisture, remove wet porous materials if extensive</x:t>
        </x:is>
      </x:c>
      <x:c r="R106" s="4" t="inlineStr">
        <x:is>
          <x:t xml:space="preserve">patchy_growth, discoloration, moisture_associated</x:t>
        </x:is>
      </x:c>
      <x:c r="S106" s="4" t="inlineStr">
        <x:is>
          <x:t xml:space="preserve">Neosartorya visual group</x:t>
        </x:is>
      </x:c>
      <x:c r="T106" s="4" t="inlineStr">
        <x:is>
          <x:t xml:space="preserve">moderate</x:t>
        </x:is>
      </x:c>
      <x:c r="U106" s="4" t="inlineStr">
        <x:is>
          <x:t xml:space="preserve">common indoor / allergen potential</x:t>
        </x:is>
      </x:c>
      <x:c r="V106" s="4" t="inlineStr">
        <x:is>
          <x:t xml:space="preserve">24-48 hrs with persistent humidity</x:t>
        </x:is>
      </x:c>
      <x:c r="W106" s="4" t="inlineStr">
        <x:is>
          <x:t xml:space="preserve">air and/or surface depending on context</x:t>
        </x:is>
      </x:c>
      <x:c r="X106" s="4" t="inlineStr">
        <x:is>
          <x:t xml:space="preserve">no</x:t>
        </x:is>
      </x:c>
      <x:c r="Y106" s="4" t="inlineStr">
        <x:is>
          <x:t xml:space="preserve">white, gray, powdery, patchy</x:t>
        </x:is>
      </x:c>
      <x:c r="Z106" s="4" t="inlineStr">
        <x:is>
          <x:t xml:space="preserve">porous materials preferred; non-porous growth usually on possible via dust</x:t>
        </x:is>
      </x:c>
    </x:row>
    <x:row r="107">
      <x:c r="A107" s="4" t="inlineStr">
        <x:is>
          <x:t xml:space="preserve">Ophiostoma ulmi</x:t>
        </x:is>
      </x:c>
      <x:c r="B107" s="4" t="inlineStr">
        <x:is>
          <x:t xml:space="preserve">Ophiostoma</x:t>
        </x:is>
      </x:c>
      <x:c r="C107" s="4" t="inlineStr">
        <x:is>
          <x:t xml:space="preserve">Common indoor</x:t>
        </x:is>
      </x:c>
      <x:c r="D107" s="4" t="inlineStr">
        <x:is>
          <x:t xml:space="preserve">white</x:t>
        </x:is>
      </x:c>
      <x:c r="E107" s="4" t="inlineStr">
        <x:is>
          <x:t xml:space="preserve">gray</x:t>
        </x:is>
      </x:c>
      <x:c r="F107" s="4" t="inlineStr">
        <x:is>
          <x:t xml:space="preserve">powdery</x:t>
        </x:is>
      </x:c>
      <x:c r="G107" s="4" t="inlineStr">
        <x:is>
          <x:t xml:space="preserve">patchy</x:t>
        </x:is>
      </x:c>
      <x:c r="H107" s="4" t="inlineStr">
        <x:is>
          <x:t xml:space="preserve">drywall, wood, dust</x:t>
        </x:is>
      </x:c>
      <x:c r="I107" s="4" t="inlineStr">
        <x:is>
          <x:t xml:space="preserve">bathrooms, basements, HVAC, windows</x:t>
        </x:is>
      </x:c>
      <x:c r="J107" s="4" t="inlineStr">
        <x:is>
          <x:t xml:space="preserve">moderate</x:t>
        </x:is>
      </x:c>
      <x:c r="K107" s="4" t="inlineStr">
        <x:is>
          <x:t xml:space="preserve">60+</x:t>
        </x:is>
      </x:c>
      <x:c r="L107" s="4" t="inlineStr">
        <x:is>
          <x:t xml:space="preserve">15-32</x:t>
        </x:is>
      </x:c>
      <x:c r="M107" s="4" t="inlineStr">
        <x:is>
          <x:t xml:space="preserve">yes</x:t>
        </x:is>
      </x:c>
      <x:c r="N107" s="4" t="inlineStr">
        <x:is>
          <x:t xml:space="preserve">possible via dust</x:t>
        </x:is>
      </x:c>
      <x:c r="O107" s="4" t="inlineStr">
        <x:is>
          <x:t xml:space="preserve">low to moderate</x:t>
        </x:is>
      </x:c>
      <x:c r="P107" s="4" t="inlineStr">
        <x:is>
          <x:t xml:space="preserve">possible</x:t>
        </x:is>
      </x:c>
      <x:c r="Q107" s="4" t="inlineStr">
        <x:is>
          <x:t xml:space="preserve">clean visible growth, correct moisture, remove wet porous materials if extensive</x:t>
        </x:is>
      </x:c>
      <x:c r="R107" s="4" t="inlineStr">
        <x:is>
          <x:t xml:space="preserve">patchy_growth, discoloration, moisture_associated</x:t>
        </x:is>
      </x:c>
      <x:c r="S107" s="4" t="inlineStr">
        <x:is>
          <x:t xml:space="preserve">Ophiostoma visual group</x:t>
        </x:is>
      </x:c>
      <x:c r="T107" s="4" t="inlineStr">
        <x:is>
          <x:t xml:space="preserve">moderate</x:t>
        </x:is>
      </x:c>
      <x:c r="U107" s="4" t="inlineStr">
        <x:is>
          <x:t xml:space="preserve">common indoor / allergen potential</x:t>
        </x:is>
      </x:c>
      <x:c r="V107" s="4" t="inlineStr">
        <x:is>
          <x:t xml:space="preserve">24-48 hrs with persistent humidity</x:t>
        </x:is>
      </x:c>
      <x:c r="W107" s="4" t="inlineStr">
        <x:is>
          <x:t xml:space="preserve">air and/or surface depending on context</x:t>
        </x:is>
      </x:c>
      <x:c r="X107" s="4" t="inlineStr">
        <x:is>
          <x:t xml:space="preserve">no</x:t>
        </x:is>
      </x:c>
      <x:c r="Y107" s="4" t="inlineStr">
        <x:is>
          <x:t xml:space="preserve">white, gray, powdery, patchy</x:t>
        </x:is>
      </x:c>
      <x:c r="Z107" s="4" t="inlineStr">
        <x:is>
          <x:t xml:space="preserve">porous materials preferred; non-porous growth usually on possible via dust</x:t>
        </x:is>
      </x:c>
    </x:row>
    <x:row r="108">
      <x:c r="A108" s="4" t="inlineStr">
        <x:is>
          <x:t xml:space="preserve">Pithomyces chartarum</x:t>
        </x:is>
      </x:c>
      <x:c r="B108" s="4" t="inlineStr">
        <x:is>
          <x:t xml:space="preserve">Pithomyces</x:t>
        </x:is>
      </x:c>
      <x:c r="C108" s="4" t="inlineStr">
        <x:is>
          <x:t xml:space="preserve">Common indoor</x:t>
        </x:is>
      </x:c>
      <x:c r="D108" s="4" t="inlineStr">
        <x:is>
          <x:t xml:space="preserve">white</x:t>
        </x:is>
      </x:c>
      <x:c r="E108" s="4" t="inlineStr">
        <x:is>
          <x:t xml:space="preserve">gray</x:t>
        </x:is>
      </x:c>
      <x:c r="F108" s="4" t="inlineStr">
        <x:is>
          <x:t xml:space="preserve">powdery</x:t>
        </x:is>
      </x:c>
      <x:c r="G108" s="4" t="inlineStr">
        <x:is>
          <x:t xml:space="preserve">patchy</x:t>
        </x:is>
      </x:c>
      <x:c r="H108" s="4" t="inlineStr">
        <x:is>
          <x:t xml:space="preserve">drywall, wood, dust</x:t>
        </x:is>
      </x:c>
      <x:c r="I108" s="4" t="inlineStr">
        <x:is>
          <x:t xml:space="preserve">bathrooms, basements, HVAC, windows</x:t>
        </x:is>
      </x:c>
      <x:c r="J108" s="4" t="inlineStr">
        <x:is>
          <x:t xml:space="preserve">moderate</x:t>
        </x:is>
      </x:c>
      <x:c r="K108" s="4" t="inlineStr">
        <x:is>
          <x:t xml:space="preserve">60+</x:t>
        </x:is>
      </x:c>
      <x:c r="L108" s="4" t="inlineStr">
        <x:is>
          <x:t xml:space="preserve">15-32</x:t>
        </x:is>
      </x:c>
      <x:c r="M108" s="4" t="inlineStr">
        <x:is>
          <x:t xml:space="preserve">yes</x:t>
        </x:is>
      </x:c>
      <x:c r="N108" s="4" t="inlineStr">
        <x:is>
          <x:t xml:space="preserve">possible via dust</x:t>
        </x:is>
      </x:c>
      <x:c r="O108" s="4" t="inlineStr">
        <x:is>
          <x:t xml:space="preserve">low to moderate</x:t>
        </x:is>
      </x:c>
      <x:c r="P108" s="4" t="inlineStr">
        <x:is>
          <x:t xml:space="preserve">possible</x:t>
        </x:is>
      </x:c>
      <x:c r="Q108" s="4" t="inlineStr">
        <x:is>
          <x:t xml:space="preserve">clean visible growth, correct moisture, remove wet porous materials if extensive</x:t>
        </x:is>
      </x:c>
      <x:c r="R108" s="4" t="inlineStr">
        <x:is>
          <x:t xml:space="preserve">patchy_growth, discoloration, moisture_associated</x:t>
        </x:is>
      </x:c>
      <x:c r="S108" s="4" t="inlineStr">
        <x:is>
          <x:t xml:space="preserve">Pithomyces visual group</x:t>
        </x:is>
      </x:c>
      <x:c r="T108" s="4" t="inlineStr">
        <x:is>
          <x:t xml:space="preserve">moderate</x:t>
        </x:is>
      </x:c>
      <x:c r="U108" s="4" t="inlineStr">
        <x:is>
          <x:t xml:space="preserve">common indoor / allergen potential</x:t>
        </x:is>
      </x:c>
      <x:c r="V108" s="4" t="inlineStr">
        <x:is>
          <x:t xml:space="preserve">24-48 hrs with persistent humidity</x:t>
        </x:is>
      </x:c>
      <x:c r="W108" s="4" t="inlineStr">
        <x:is>
          <x:t xml:space="preserve">air and/or surface depending on context</x:t>
        </x:is>
      </x:c>
      <x:c r="X108" s="4" t="inlineStr">
        <x:is>
          <x:t xml:space="preserve">yes</x:t>
        </x:is>
      </x:c>
      <x:c r="Y108" s="4" t="inlineStr">
        <x:is>
          <x:t xml:space="preserve">white, gray, powdery, patchy</x:t>
        </x:is>
      </x:c>
      <x:c r="Z108" s="4" t="inlineStr">
        <x:is>
          <x:t xml:space="preserve">porous materials preferred; non-porous growth usually on possible via dust</x:t>
        </x:is>
      </x:c>
    </x:row>
    <x:row r="109">
      <x:c r="A109" s="4" t="inlineStr">
        <x:is>
          <x:t xml:space="preserve">Sporobolomyces roseus</x:t>
        </x:is>
      </x:c>
      <x:c r="B109" s="4" t="inlineStr">
        <x:is>
          <x:t xml:space="preserve">Sporobolomyces</x:t>
        </x:is>
      </x:c>
      <x:c r="C109" s="4" t="inlineStr">
        <x:is>
          <x:t xml:space="preserve">Common indoor</x:t>
        </x:is>
      </x:c>
      <x:c r="D109" s="4" t="inlineStr">
        <x:is>
          <x:t xml:space="preserve">white</x:t>
        </x:is>
      </x:c>
      <x:c r="E109" s="4" t="inlineStr">
        <x:is>
          <x:t xml:space="preserve">gray</x:t>
        </x:is>
      </x:c>
      <x:c r="F109" s="4" t="inlineStr">
        <x:is>
          <x:t xml:space="preserve">powdery</x:t>
        </x:is>
      </x:c>
      <x:c r="G109" s="4" t="inlineStr">
        <x:is>
          <x:t xml:space="preserve">patchy</x:t>
        </x:is>
      </x:c>
      <x:c r="H109" s="4" t="inlineStr">
        <x:is>
          <x:t xml:space="preserve">drywall, wood, dust</x:t>
        </x:is>
      </x:c>
      <x:c r="I109" s="4" t="inlineStr">
        <x:is>
          <x:t xml:space="preserve">bathrooms, basements, HVAC, windows</x:t>
        </x:is>
      </x:c>
      <x:c r="J109" s="4" t="inlineStr">
        <x:is>
          <x:t xml:space="preserve">moderate</x:t>
        </x:is>
      </x:c>
      <x:c r="K109" s="4" t="inlineStr">
        <x:is>
          <x:t xml:space="preserve">60+</x:t>
        </x:is>
      </x:c>
      <x:c r="L109" s="4" t="inlineStr">
        <x:is>
          <x:t xml:space="preserve">15-32</x:t>
        </x:is>
      </x:c>
      <x:c r="M109" s="4" t="inlineStr">
        <x:is>
          <x:t xml:space="preserve">yes</x:t>
        </x:is>
      </x:c>
      <x:c r="N109" s="4" t="inlineStr">
        <x:is>
          <x:t xml:space="preserve">possible via dust</x:t>
        </x:is>
      </x:c>
      <x:c r="O109" s="4" t="inlineStr">
        <x:is>
          <x:t xml:space="preserve">low to moderate</x:t>
        </x:is>
      </x:c>
      <x:c r="P109" s="4" t="inlineStr">
        <x:is>
          <x:t xml:space="preserve">possible</x:t>
        </x:is>
      </x:c>
      <x:c r="Q109" s="4" t="inlineStr">
        <x:is>
          <x:t xml:space="preserve">clean visible growth, correct moisture, remove wet porous materials if extensive</x:t>
        </x:is>
      </x:c>
      <x:c r="R109" s="4" t="inlineStr">
        <x:is>
          <x:t xml:space="preserve">patchy_growth, discoloration, moisture_associated</x:t>
        </x:is>
      </x:c>
      <x:c r="S109" s="4" t="inlineStr">
        <x:is>
          <x:t xml:space="preserve">Sporobolomyces visual group</x:t>
        </x:is>
      </x:c>
      <x:c r="T109" s="4" t="inlineStr">
        <x:is>
          <x:t xml:space="preserve">moderate</x:t>
        </x:is>
      </x:c>
      <x:c r="U109" s="4" t="inlineStr">
        <x:is>
          <x:t xml:space="preserve">common indoor / allergen potential</x:t>
        </x:is>
      </x:c>
      <x:c r="V109" s="4" t="inlineStr">
        <x:is>
          <x:t xml:space="preserve">24-48 hrs with persistent humidity</x:t>
        </x:is>
      </x:c>
      <x:c r="W109" s="4" t="inlineStr">
        <x:is>
          <x:t xml:space="preserve">air and/or surface depending on context</x:t>
        </x:is>
      </x:c>
      <x:c r="X109" s="4" t="inlineStr">
        <x:is>
          <x:t xml:space="preserve">no</x:t>
        </x:is>
      </x:c>
      <x:c r="Y109" s="4" t="inlineStr">
        <x:is>
          <x:t xml:space="preserve">white, gray, powdery, patchy</x:t>
        </x:is>
      </x:c>
      <x:c r="Z109" s="4" t="inlineStr">
        <x:is>
          <x:t xml:space="preserve">porous materials preferred; non-porous growth usually on possible via dust</x:t>
        </x:is>
      </x:c>
    </x:row>
    <x:row r="110">
      <x:c r="A110" s="4" t="inlineStr">
        <x:is>
          <x:t xml:space="preserve">Trichophyton mentagrophytes</x:t>
        </x:is>
      </x:c>
      <x:c r="B110" s="4" t="inlineStr">
        <x:is>
          <x:t xml:space="preserve">Trichophyton</x:t>
        </x:is>
      </x:c>
      <x:c r="C110" s="4" t="inlineStr">
        <x:is>
          <x:t xml:space="preserve">Common indoor</x:t>
        </x:is>
      </x:c>
      <x:c r="D110" s="4" t="inlineStr">
        <x:is>
          <x:t xml:space="preserve">white</x:t>
        </x:is>
      </x:c>
      <x:c r="E110" s="4" t="inlineStr">
        <x:is>
          <x:t xml:space="preserve">gray</x:t>
        </x:is>
      </x:c>
      <x:c r="F110" s="4" t="inlineStr">
        <x:is>
          <x:t xml:space="preserve">powdery</x:t>
        </x:is>
      </x:c>
      <x:c r="G110" s="4" t="inlineStr">
        <x:is>
          <x:t xml:space="preserve">patchy</x:t>
        </x:is>
      </x:c>
      <x:c r="H110" s="4" t="inlineStr">
        <x:is>
          <x:t xml:space="preserve">drywall, wood, dust</x:t>
        </x:is>
      </x:c>
      <x:c r="I110" s="4" t="inlineStr">
        <x:is>
          <x:t xml:space="preserve">bathrooms, basements, HVAC, windows</x:t>
        </x:is>
      </x:c>
      <x:c r="J110" s="4" t="inlineStr">
        <x:is>
          <x:t xml:space="preserve">moderate</x:t>
        </x:is>
      </x:c>
      <x:c r="K110" s="4" t="inlineStr">
        <x:is>
          <x:t xml:space="preserve">60+</x:t>
        </x:is>
      </x:c>
      <x:c r="L110" s="4" t="inlineStr">
        <x:is>
          <x:t xml:space="preserve">15-32</x:t>
        </x:is>
      </x:c>
      <x:c r="M110" s="4" t="inlineStr">
        <x:is>
          <x:t xml:space="preserve">yes</x:t>
        </x:is>
      </x:c>
      <x:c r="N110" s="4" t="inlineStr">
        <x:is>
          <x:t xml:space="preserve">possible via dust</x:t>
        </x:is>
      </x:c>
      <x:c r="O110" s="4" t="inlineStr">
        <x:is>
          <x:t xml:space="preserve">low to moderate</x:t>
        </x:is>
      </x:c>
      <x:c r="P110" s="4" t="inlineStr">
        <x:is>
          <x:t xml:space="preserve">possible</x:t>
        </x:is>
      </x:c>
      <x:c r="Q110" s="4" t="inlineStr">
        <x:is>
          <x:t xml:space="preserve">clean visible growth, correct moisture, remove wet porous materials if extensive</x:t>
        </x:is>
      </x:c>
      <x:c r="R110" s="4" t="inlineStr">
        <x:is>
          <x:t xml:space="preserve">patchy_growth, discoloration, moisture_associated</x:t>
        </x:is>
      </x:c>
      <x:c r="S110" s="4" t="inlineStr">
        <x:is>
          <x:t xml:space="preserve">Trichophyton visual group</x:t>
        </x:is>
      </x:c>
      <x:c r="T110" s="4" t="inlineStr">
        <x:is>
          <x:t xml:space="preserve">moderate</x:t>
        </x:is>
      </x:c>
      <x:c r="U110" s="4" t="inlineStr">
        <x:is>
          <x:t xml:space="preserve">common indoor / allergen potential</x:t>
        </x:is>
      </x:c>
      <x:c r="V110" s="4" t="inlineStr">
        <x:is>
          <x:t xml:space="preserve">24-48 hrs with persistent humidity</x:t>
        </x:is>
      </x:c>
      <x:c r="W110" s="4" t="inlineStr">
        <x:is>
          <x:t xml:space="preserve">air and/or surface depending on context</x:t>
        </x:is>
      </x:c>
      <x:c r="X110" s="4" t="inlineStr">
        <x:is>
          <x:t xml:space="preserve">no</x:t>
        </x:is>
      </x:c>
      <x:c r="Y110" s="4" t="inlineStr">
        <x:is>
          <x:t xml:space="preserve">white, gray, powdery, patchy</x:t>
        </x:is>
      </x:c>
      <x:c r="Z110" s="4" t="inlineStr">
        <x:is>
          <x:t xml:space="preserve">porous materials preferred; non-porous growth usually on possible via dust</x:t>
        </x:is>
      </x:c>
    </x:row>
    <x:row r="111">
      <x:c r="A111" s="4" t="inlineStr">
        <x:is>
          <x:t xml:space="preserve">Microsporum gypseum</x:t>
        </x:is>
      </x:c>
      <x:c r="B111" s="4" t="inlineStr">
        <x:is>
          <x:t xml:space="preserve">Microsporum</x:t>
        </x:is>
      </x:c>
      <x:c r="C111" s="4" t="inlineStr">
        <x:is>
          <x:t xml:space="preserve">Common indoor</x:t>
        </x:is>
      </x:c>
      <x:c r="D111" s="4" t="inlineStr">
        <x:is>
          <x:t xml:space="preserve">white</x:t>
        </x:is>
      </x:c>
      <x:c r="E111" s="4" t="inlineStr">
        <x:is>
          <x:t xml:space="preserve">gray</x:t>
        </x:is>
      </x:c>
      <x:c r="F111" s="4" t="inlineStr">
        <x:is>
          <x:t xml:space="preserve">powdery</x:t>
        </x:is>
      </x:c>
      <x:c r="G111" s="4" t="inlineStr">
        <x:is>
          <x:t xml:space="preserve">patchy</x:t>
        </x:is>
      </x:c>
      <x:c r="H111" s="4" t="inlineStr">
        <x:is>
          <x:t xml:space="preserve">drywall, wood, dust</x:t>
        </x:is>
      </x:c>
      <x:c r="I111" s="4" t="inlineStr">
        <x:is>
          <x:t xml:space="preserve">bathrooms, basements, HVAC, windows</x:t>
        </x:is>
      </x:c>
      <x:c r="J111" s="4" t="inlineStr">
        <x:is>
          <x:t xml:space="preserve">moderate</x:t>
        </x:is>
      </x:c>
      <x:c r="K111" s="4" t="inlineStr">
        <x:is>
          <x:t xml:space="preserve">60+</x:t>
        </x:is>
      </x:c>
      <x:c r="L111" s="4" t="inlineStr">
        <x:is>
          <x:t xml:space="preserve">15-32</x:t>
        </x:is>
      </x:c>
      <x:c r="M111" s="4" t="inlineStr">
        <x:is>
          <x:t xml:space="preserve">yes</x:t>
        </x:is>
      </x:c>
      <x:c r="N111" s="4" t="inlineStr">
        <x:is>
          <x:t xml:space="preserve">possible via dust</x:t>
        </x:is>
      </x:c>
      <x:c r="O111" s="4" t="inlineStr">
        <x:is>
          <x:t xml:space="preserve">low to moderate</x:t>
        </x:is>
      </x:c>
      <x:c r="P111" s="4" t="inlineStr">
        <x:is>
          <x:t xml:space="preserve">possible</x:t>
        </x:is>
      </x:c>
      <x:c r="Q111" s="4" t="inlineStr">
        <x:is>
          <x:t xml:space="preserve">clean visible growth, correct moisture, remove wet porous materials if extensive</x:t>
        </x:is>
      </x:c>
      <x:c r="R111" s="4" t="inlineStr">
        <x:is>
          <x:t xml:space="preserve">patchy_growth, discoloration, moisture_associated</x:t>
        </x:is>
      </x:c>
      <x:c r="S111" s="4" t="inlineStr">
        <x:is>
          <x:t xml:space="preserve">Microsporum visual group</x:t>
        </x:is>
      </x:c>
      <x:c r="T111" s="4" t="inlineStr">
        <x:is>
          <x:t xml:space="preserve">moderate</x:t>
        </x:is>
      </x:c>
      <x:c r="U111" s="4" t="inlineStr">
        <x:is>
          <x:t xml:space="preserve">common indoor / allergen potential</x:t>
        </x:is>
      </x:c>
      <x:c r="V111" s="4" t="inlineStr">
        <x:is>
          <x:t xml:space="preserve">24-48 hrs with persistent humidity</x:t>
        </x:is>
      </x:c>
      <x:c r="W111" s="4" t="inlineStr">
        <x:is>
          <x:t xml:space="preserve">air and/or surface depending on context</x:t>
        </x:is>
      </x:c>
      <x:c r="X111" s="4" t="inlineStr">
        <x:is>
          <x:t xml:space="preserve">no</x:t>
        </x:is>
      </x:c>
      <x:c r="Y111" s="4" t="inlineStr">
        <x:is>
          <x:t xml:space="preserve">white, gray, powdery, patchy</x:t>
        </x:is>
      </x:c>
      <x:c r="Z111" s="4" t="inlineStr">
        <x:is>
          <x:t xml:space="preserve">porous materials preferred; non-porous growth usually on possible via dust</x:t>
        </x:is>
      </x:c>
    </x:row>
    <x:row r="112">
      <x:c r="A112" s="4" t="inlineStr">
        <x:is>
          <x:t xml:space="preserve">Hortaea werneckii</x:t>
        </x:is>
      </x:c>
      <x:c r="B112" s="4" t="inlineStr">
        <x:is>
          <x:t xml:space="preserve">Hortaea</x:t>
        </x:is>
      </x:c>
      <x:c r="C112" s="4" t="inlineStr">
        <x:is>
          <x:t xml:space="preserve">Common indoor</x:t>
        </x:is>
      </x:c>
      <x:c r="D112" s="4" t="inlineStr">
        <x:is>
          <x:t xml:space="preserve">white</x:t>
        </x:is>
      </x:c>
      <x:c r="E112" s="4" t="inlineStr">
        <x:is>
          <x:t xml:space="preserve">gray</x:t>
        </x:is>
      </x:c>
      <x:c r="F112" s="4" t="inlineStr">
        <x:is>
          <x:t xml:space="preserve">powdery</x:t>
        </x:is>
      </x:c>
      <x:c r="G112" s="4" t="inlineStr">
        <x:is>
          <x:t xml:space="preserve">patchy</x:t>
        </x:is>
      </x:c>
      <x:c r="H112" s="4" t="inlineStr">
        <x:is>
          <x:t xml:space="preserve">drywall, wood, dust</x:t>
        </x:is>
      </x:c>
      <x:c r="I112" s="4" t="inlineStr">
        <x:is>
          <x:t xml:space="preserve">bathrooms, basements, HVAC, windows</x:t>
        </x:is>
      </x:c>
      <x:c r="J112" s="4" t="inlineStr">
        <x:is>
          <x:t xml:space="preserve">moderate</x:t>
        </x:is>
      </x:c>
      <x:c r="K112" s="4" t="inlineStr">
        <x:is>
          <x:t xml:space="preserve">60+</x:t>
        </x:is>
      </x:c>
      <x:c r="L112" s="4" t="inlineStr">
        <x:is>
          <x:t xml:space="preserve">15-32</x:t>
        </x:is>
      </x:c>
      <x:c r="M112" s="4" t="inlineStr">
        <x:is>
          <x:t xml:space="preserve">yes</x:t>
        </x:is>
      </x:c>
      <x:c r="N112" s="4" t="inlineStr">
        <x:is>
          <x:t xml:space="preserve">possible via dust</x:t>
        </x:is>
      </x:c>
      <x:c r="O112" s="4" t="inlineStr">
        <x:is>
          <x:t xml:space="preserve">low to moderate</x:t>
        </x:is>
      </x:c>
      <x:c r="P112" s="4" t="inlineStr">
        <x:is>
          <x:t xml:space="preserve">possible</x:t>
        </x:is>
      </x:c>
      <x:c r="Q112" s="4" t="inlineStr">
        <x:is>
          <x:t xml:space="preserve">clean visible growth, correct moisture, remove wet porous materials if extensive</x:t>
        </x:is>
      </x:c>
      <x:c r="R112" s="4" t="inlineStr">
        <x:is>
          <x:t xml:space="preserve">patchy_growth, discoloration, moisture_associated</x:t>
        </x:is>
      </x:c>
      <x:c r="S112" s="4" t="inlineStr">
        <x:is>
          <x:t xml:space="preserve">Hortaea visual group</x:t>
        </x:is>
      </x:c>
      <x:c r="T112" s="4" t="inlineStr">
        <x:is>
          <x:t xml:space="preserve">moderate</x:t>
        </x:is>
      </x:c>
      <x:c r="U112" s="4" t="inlineStr">
        <x:is>
          <x:t xml:space="preserve">common indoor / allergen potential</x:t>
        </x:is>
      </x:c>
      <x:c r="V112" s="4" t="inlineStr">
        <x:is>
          <x:t xml:space="preserve">24-48 hrs with persistent humidity</x:t>
        </x:is>
      </x:c>
      <x:c r="W112" s="4" t="inlineStr">
        <x:is>
          <x:t xml:space="preserve">air and/or surface depending on context</x:t>
        </x:is>
      </x:c>
      <x:c r="X112" s="4" t="inlineStr">
        <x:is>
          <x:t xml:space="preserve">no</x:t>
        </x:is>
      </x:c>
      <x:c r="Y112" s="4" t="inlineStr">
        <x:is>
          <x:t xml:space="preserve">white, gray, powdery, patchy</x:t>
        </x:is>
      </x:c>
      <x:c r="Z112" s="4" t="inlineStr">
        <x:is>
          <x:t xml:space="preserve">porous materials preferred; non-porous growth usually on possible via dust</x:t>
        </x:is>
      </x:c>
    </x:row>
    <x:row r="113">
      <x:c r="A113" s="4" t="inlineStr">
        <x:is>
          <x:t xml:space="preserve">Scytalidium dimidiatum</x:t>
        </x:is>
      </x:c>
      <x:c r="B113" s="4" t="inlineStr">
        <x:is>
          <x:t xml:space="preserve">Scytalidium</x:t>
        </x:is>
      </x:c>
      <x:c r="C113" s="4" t="inlineStr">
        <x:is>
          <x:t xml:space="preserve">Common indoor</x:t>
        </x:is>
      </x:c>
      <x:c r="D113" s="4" t="inlineStr">
        <x:is>
          <x:t xml:space="preserve">white</x:t>
        </x:is>
      </x:c>
      <x:c r="E113" s="4" t="inlineStr">
        <x:is>
          <x:t xml:space="preserve">gray</x:t>
        </x:is>
      </x:c>
      <x:c r="F113" s="4" t="inlineStr">
        <x:is>
          <x:t xml:space="preserve">powdery</x:t>
        </x:is>
      </x:c>
      <x:c r="G113" s="4" t="inlineStr">
        <x:is>
          <x:t xml:space="preserve">patchy</x:t>
        </x:is>
      </x:c>
      <x:c r="H113" s="4" t="inlineStr">
        <x:is>
          <x:t xml:space="preserve">drywall, wood, dust</x:t>
        </x:is>
      </x:c>
      <x:c r="I113" s="4" t="inlineStr">
        <x:is>
          <x:t xml:space="preserve">bathrooms, basements, HVAC, windows</x:t>
        </x:is>
      </x:c>
      <x:c r="J113" s="4" t="inlineStr">
        <x:is>
          <x:t xml:space="preserve">moderate</x:t>
        </x:is>
      </x:c>
      <x:c r="K113" s="4" t="inlineStr">
        <x:is>
          <x:t xml:space="preserve">60+</x:t>
        </x:is>
      </x:c>
      <x:c r="L113" s="4" t="inlineStr">
        <x:is>
          <x:t xml:space="preserve">15-32</x:t>
        </x:is>
      </x:c>
      <x:c r="M113" s="4" t="inlineStr">
        <x:is>
          <x:t xml:space="preserve">yes</x:t>
        </x:is>
      </x:c>
      <x:c r="N113" s="4" t="inlineStr">
        <x:is>
          <x:t xml:space="preserve">possible via dust</x:t>
        </x:is>
      </x:c>
      <x:c r="O113" s="4" t="inlineStr">
        <x:is>
          <x:t xml:space="preserve">low to moderate</x:t>
        </x:is>
      </x:c>
      <x:c r="P113" s="4" t="inlineStr">
        <x:is>
          <x:t xml:space="preserve">possible</x:t>
        </x:is>
      </x:c>
      <x:c r="Q113" s="4" t="inlineStr">
        <x:is>
          <x:t xml:space="preserve">clean visible growth, correct moisture, remove wet porous materials if extensive</x:t>
        </x:is>
      </x:c>
      <x:c r="R113" s="4" t="inlineStr">
        <x:is>
          <x:t xml:space="preserve">patchy_growth, discoloration, moisture_associated</x:t>
        </x:is>
      </x:c>
      <x:c r="S113" s="4" t="inlineStr">
        <x:is>
          <x:t xml:space="preserve">Scytalidium visual group</x:t>
        </x:is>
      </x:c>
      <x:c r="T113" s="4" t="inlineStr">
        <x:is>
          <x:t xml:space="preserve">moderate</x:t>
        </x:is>
      </x:c>
      <x:c r="U113" s="4" t="inlineStr">
        <x:is>
          <x:t xml:space="preserve">common indoor / allergen potential</x:t>
        </x:is>
      </x:c>
      <x:c r="V113" s="4" t="inlineStr">
        <x:is>
          <x:t xml:space="preserve">24-48 hrs with persistent humidity</x:t>
        </x:is>
      </x:c>
      <x:c r="W113" s="4" t="inlineStr">
        <x:is>
          <x:t xml:space="preserve">air and/or surface depending on context</x:t>
        </x:is>
      </x:c>
      <x:c r="X113" s="4" t="inlineStr">
        <x:is>
          <x:t xml:space="preserve">no</x:t>
        </x:is>
      </x:c>
      <x:c r="Y113" s="4" t="inlineStr">
        <x:is>
          <x:t xml:space="preserve">white, gray, powdery, patchy</x:t>
        </x:is>
      </x:c>
      <x:c r="Z113" s="4" t="inlineStr">
        <x:is>
          <x:t xml:space="preserve">porous materials preferred; non-porous growth usually on possible via dust</x:t>
        </x:is>
      </x:c>
    </x:row>
    <x:row r="114">
      <x:c r="A114" s="4" t="inlineStr">
        <x:is>
          <x:t xml:space="preserve">Rhizomucor pusillus</x:t>
        </x:is>
      </x:c>
      <x:c r="B114" s="4" t="inlineStr">
        <x:is>
          <x:t xml:space="preserve">Rhizomucor</x:t>
        </x:is>
      </x:c>
      <x:c r="C114" s="4" t="inlineStr">
        <x:is>
          <x:t xml:space="preserve">Common indoor</x:t>
        </x:is>
      </x:c>
      <x:c r="D114" s="4" t="inlineStr">
        <x:is>
          <x:t xml:space="preserve">white</x:t>
        </x:is>
      </x:c>
      <x:c r="E114" s="4" t="inlineStr">
        <x:is>
          <x:t xml:space="preserve">gray</x:t>
        </x:is>
      </x:c>
      <x:c r="F114" s="4" t="inlineStr">
        <x:is>
          <x:t xml:space="preserve">powdery</x:t>
        </x:is>
      </x:c>
      <x:c r="G114" s="4" t="inlineStr">
        <x:is>
          <x:t xml:space="preserve">patchy</x:t>
        </x:is>
      </x:c>
      <x:c r="H114" s="4" t="inlineStr">
        <x:is>
          <x:t xml:space="preserve">drywall, wood, dust</x:t>
        </x:is>
      </x:c>
      <x:c r="I114" s="4" t="inlineStr">
        <x:is>
          <x:t xml:space="preserve">bathrooms, basements, HVAC, windows</x:t>
        </x:is>
      </x:c>
      <x:c r="J114" s="4" t="inlineStr">
        <x:is>
          <x:t xml:space="preserve">moderate</x:t>
        </x:is>
      </x:c>
      <x:c r="K114" s="4" t="inlineStr">
        <x:is>
          <x:t xml:space="preserve">60+</x:t>
        </x:is>
      </x:c>
      <x:c r="L114" s="4" t="inlineStr">
        <x:is>
          <x:t xml:space="preserve">15-32</x:t>
        </x:is>
      </x:c>
      <x:c r="M114" s="4" t="inlineStr">
        <x:is>
          <x:t xml:space="preserve">yes</x:t>
        </x:is>
      </x:c>
      <x:c r="N114" s="4" t="inlineStr">
        <x:is>
          <x:t xml:space="preserve">possible via dust</x:t>
        </x:is>
      </x:c>
      <x:c r="O114" s="4" t="inlineStr">
        <x:is>
          <x:t xml:space="preserve">low to moderate</x:t>
        </x:is>
      </x:c>
      <x:c r="P114" s="4" t="inlineStr">
        <x:is>
          <x:t xml:space="preserve">possible</x:t>
        </x:is>
      </x:c>
      <x:c r="Q114" s="4" t="inlineStr">
        <x:is>
          <x:t xml:space="preserve">clean visible growth, correct moisture, remove wet porous materials if extensive</x:t>
        </x:is>
      </x:c>
      <x:c r="R114" s="4" t="inlineStr">
        <x:is>
          <x:t xml:space="preserve">patchy_growth, discoloration, moisture_associated</x:t>
        </x:is>
      </x:c>
      <x:c r="S114" s="4" t="inlineStr">
        <x:is>
          <x:t xml:space="preserve">Rhizomucor visual group</x:t>
        </x:is>
      </x:c>
      <x:c r="T114" s="4" t="inlineStr">
        <x:is>
          <x:t xml:space="preserve">moderate</x:t>
        </x:is>
      </x:c>
      <x:c r="U114" s="4" t="inlineStr">
        <x:is>
          <x:t xml:space="preserve">common indoor / allergen potential</x:t>
        </x:is>
      </x:c>
      <x:c r="V114" s="4" t="inlineStr">
        <x:is>
          <x:t xml:space="preserve">24-48 hrs with persistent humidity</x:t>
        </x:is>
      </x:c>
      <x:c r="W114" s="4" t="inlineStr">
        <x:is>
          <x:t xml:space="preserve">air and/or surface depending on context</x:t>
        </x:is>
      </x:c>
      <x:c r="X114" s="4" t="inlineStr">
        <x:is>
          <x:t xml:space="preserve">no</x:t>
        </x:is>
      </x:c>
      <x:c r="Y114" s="4" t="inlineStr">
        <x:is>
          <x:t xml:space="preserve">white, gray, powdery, patchy</x:t>
        </x:is>
      </x:c>
      <x:c r="Z114" s="4" t="inlineStr">
        <x:is>
          <x:t xml:space="preserve">porous materials preferred; non-porous growth usually on possible via dust</x:t>
        </x:is>
      </x:c>
    </x:row>
    <x:row r="115">
      <x:c r="A115" s="4" t="inlineStr">
        <x:is>
          <x:t xml:space="preserve">Meyerozyma guilliermondii</x:t>
        </x:is>
      </x:c>
      <x:c r="B115" s="4" t="inlineStr">
        <x:is>
          <x:t xml:space="preserve">Meyerozyma</x:t>
        </x:is>
      </x:c>
      <x:c r="C115" s="4" t="inlineStr">
        <x:is>
          <x:t xml:space="preserve">Common indoor</x:t>
        </x:is>
      </x:c>
      <x:c r="D115" s="4" t="inlineStr">
        <x:is>
          <x:t xml:space="preserve">white</x:t>
        </x:is>
      </x:c>
      <x:c r="E115" s="4" t="inlineStr">
        <x:is>
          <x:t xml:space="preserve">gray</x:t>
        </x:is>
      </x:c>
      <x:c r="F115" s="4" t="inlineStr">
        <x:is>
          <x:t xml:space="preserve">powdery</x:t>
        </x:is>
      </x:c>
      <x:c r="G115" s="4" t="inlineStr">
        <x:is>
          <x:t xml:space="preserve">patchy</x:t>
        </x:is>
      </x:c>
      <x:c r="H115" s="4" t="inlineStr">
        <x:is>
          <x:t xml:space="preserve">drywall, wood, dust</x:t>
        </x:is>
      </x:c>
      <x:c r="I115" s="4" t="inlineStr">
        <x:is>
          <x:t xml:space="preserve">bathrooms, basements, HVAC, windows</x:t>
        </x:is>
      </x:c>
      <x:c r="J115" s="4" t="inlineStr">
        <x:is>
          <x:t xml:space="preserve">moderate</x:t>
        </x:is>
      </x:c>
      <x:c r="K115" s="4" t="inlineStr">
        <x:is>
          <x:t xml:space="preserve">60+</x:t>
        </x:is>
      </x:c>
      <x:c r="L115" s="4" t="inlineStr">
        <x:is>
          <x:t xml:space="preserve">15-32</x:t>
        </x:is>
      </x:c>
      <x:c r="M115" s="4" t="inlineStr">
        <x:is>
          <x:t xml:space="preserve">yes</x:t>
        </x:is>
      </x:c>
      <x:c r="N115" s="4" t="inlineStr">
        <x:is>
          <x:t xml:space="preserve">possible via dust</x:t>
        </x:is>
      </x:c>
      <x:c r="O115" s="4" t="inlineStr">
        <x:is>
          <x:t xml:space="preserve">low to moderate</x:t>
        </x:is>
      </x:c>
      <x:c r="P115" s="4" t="inlineStr">
        <x:is>
          <x:t xml:space="preserve">possible</x:t>
        </x:is>
      </x:c>
      <x:c r="Q115" s="4" t="inlineStr">
        <x:is>
          <x:t xml:space="preserve">clean visible growth, correct moisture, remove wet porous materials if extensive</x:t>
        </x:is>
      </x:c>
      <x:c r="R115" s="4" t="inlineStr">
        <x:is>
          <x:t xml:space="preserve">patchy_growth, discoloration, moisture_associated</x:t>
        </x:is>
      </x:c>
      <x:c r="S115" s="4" t="inlineStr">
        <x:is>
          <x:t xml:space="preserve">Meyerozyma visual group</x:t>
        </x:is>
      </x:c>
      <x:c r="T115" s="4" t="inlineStr">
        <x:is>
          <x:t xml:space="preserve">moderate</x:t>
        </x:is>
      </x:c>
      <x:c r="U115" s="4" t="inlineStr">
        <x:is>
          <x:t xml:space="preserve">common indoor / allergen potential</x:t>
        </x:is>
      </x:c>
      <x:c r="V115" s="4" t="inlineStr">
        <x:is>
          <x:t xml:space="preserve">24-48 hrs with persistent humidity</x:t>
        </x:is>
      </x:c>
      <x:c r="W115" s="4" t="inlineStr">
        <x:is>
          <x:t xml:space="preserve">air and/or surface depending on context</x:t>
        </x:is>
      </x:c>
      <x:c r="X115" s="4" t="inlineStr">
        <x:is>
          <x:t xml:space="preserve">no</x:t>
        </x:is>
      </x:c>
      <x:c r="Y115" s="4" t="inlineStr">
        <x:is>
          <x:t xml:space="preserve">white, gray, powdery, patchy</x:t>
        </x:is>
      </x:c>
      <x:c r="Z115" s="4" t="inlineStr">
        <x:is>
          <x:t xml:space="preserve">porous materials preferred; non-porous growth usually on possible via dust</x:t>
        </x:is>
      </x:c>
    </x:row>
    <x:row r="116">
      <x:c r="A116" s="4" t="inlineStr">
        <x:is>
          <x:t xml:space="preserve">Candida parapsilosis</x:t>
        </x:is>
      </x:c>
      <x:c r="B116" s="4" t="inlineStr">
        <x:is>
          <x:t xml:space="preserve">Candida</x:t>
        </x:is>
      </x:c>
      <x:c r="C116" s="4" t="inlineStr">
        <x:is>
          <x:t xml:space="preserve">Common indoor</x:t>
        </x:is>
      </x:c>
      <x:c r="D116" s="4" t="inlineStr">
        <x:is>
          <x:t xml:space="preserve">white</x:t>
        </x:is>
      </x:c>
      <x:c r="E116" s="4" t="inlineStr">
        <x:is>
          <x:t xml:space="preserve">gray</x:t>
        </x:is>
      </x:c>
      <x:c r="F116" s="4" t="inlineStr">
        <x:is>
          <x:t xml:space="preserve">powdery</x:t>
        </x:is>
      </x:c>
      <x:c r="G116" s="4" t="inlineStr">
        <x:is>
          <x:t xml:space="preserve">patchy</x:t>
        </x:is>
      </x:c>
      <x:c r="H116" s="4" t="inlineStr">
        <x:is>
          <x:t xml:space="preserve">drywall, wood, dust</x:t>
        </x:is>
      </x:c>
      <x:c r="I116" s="4" t="inlineStr">
        <x:is>
          <x:t xml:space="preserve">bathrooms, basements, HVAC, windows</x:t>
        </x:is>
      </x:c>
      <x:c r="J116" s="4" t="inlineStr">
        <x:is>
          <x:t xml:space="preserve">moderate</x:t>
        </x:is>
      </x:c>
      <x:c r="K116" s="4" t="inlineStr">
        <x:is>
          <x:t xml:space="preserve">60+</x:t>
        </x:is>
      </x:c>
      <x:c r="L116" s="4" t="inlineStr">
        <x:is>
          <x:t xml:space="preserve">15-32</x:t>
        </x:is>
      </x:c>
      <x:c r="M116" s="4" t="inlineStr">
        <x:is>
          <x:t xml:space="preserve">yes</x:t>
        </x:is>
      </x:c>
      <x:c r="N116" s="4" t="inlineStr">
        <x:is>
          <x:t xml:space="preserve">possible via dust</x:t>
        </x:is>
      </x:c>
      <x:c r="O116" s="4" t="inlineStr">
        <x:is>
          <x:t xml:space="preserve">low to moderate</x:t>
        </x:is>
      </x:c>
      <x:c r="P116" s="4" t="inlineStr">
        <x:is>
          <x:t xml:space="preserve">possible</x:t>
        </x:is>
      </x:c>
      <x:c r="Q116" s="4" t="inlineStr">
        <x:is>
          <x:t xml:space="preserve">clean visible growth, correct moisture, remove wet porous materials if extensive</x:t>
        </x:is>
      </x:c>
      <x:c r="R116" s="4" t="inlineStr">
        <x:is>
          <x:t xml:space="preserve">patchy_growth, discoloration, moisture_associated</x:t>
        </x:is>
      </x:c>
      <x:c r="S116" s="4" t="inlineStr">
        <x:is>
          <x:t xml:space="preserve">Candida visual group</x:t>
        </x:is>
      </x:c>
      <x:c r="T116" s="4" t="inlineStr">
        <x:is>
          <x:t xml:space="preserve">moderate</x:t>
        </x:is>
      </x:c>
      <x:c r="U116" s="4" t="inlineStr">
        <x:is>
          <x:t xml:space="preserve">common indoor / allergen potential</x:t>
        </x:is>
      </x:c>
      <x:c r="V116" s="4" t="inlineStr">
        <x:is>
          <x:t xml:space="preserve">24-48 hrs with persistent humidity</x:t>
        </x:is>
      </x:c>
      <x:c r="W116" s="4" t="inlineStr">
        <x:is>
          <x:t xml:space="preserve">air and/or surface depending on context</x:t>
        </x:is>
      </x:c>
      <x:c r="X116" s="4" t="inlineStr">
        <x:is>
          <x:t xml:space="preserve">no</x:t>
        </x:is>
      </x:c>
      <x:c r="Y116" s="4" t="inlineStr">
        <x:is>
          <x:t xml:space="preserve">white, gray, powdery, patchy</x:t>
        </x:is>
      </x:c>
      <x:c r="Z116" s="4" t="inlineStr">
        <x:is>
          <x:t xml:space="preserve">porous materials preferred; non-porous growth usually on possible via dust</x:t>
        </x:is>
      </x:c>
    </x:row>
    <x:row r="117">
      <x:c r="A117" s="4" t="inlineStr">
        <x:is>
          <x:t xml:space="preserve">Candida tropicalis</x:t>
        </x:is>
      </x:c>
      <x:c r="B117" s="4" t="inlineStr">
        <x:is>
          <x:t xml:space="preserve">Candida</x:t>
        </x:is>
      </x:c>
      <x:c r="C117" s="4" t="inlineStr">
        <x:is>
          <x:t xml:space="preserve">Common indoor</x:t>
        </x:is>
      </x:c>
      <x:c r="D117" s="4" t="inlineStr">
        <x:is>
          <x:t xml:space="preserve">white</x:t>
        </x:is>
      </x:c>
      <x:c r="E117" s="4" t="inlineStr">
        <x:is>
          <x:t xml:space="preserve">gray</x:t>
        </x:is>
      </x:c>
      <x:c r="F117" s="4" t="inlineStr">
        <x:is>
          <x:t xml:space="preserve">powdery</x:t>
        </x:is>
      </x:c>
      <x:c r="G117" s="4" t="inlineStr">
        <x:is>
          <x:t xml:space="preserve">patchy</x:t>
        </x:is>
      </x:c>
      <x:c r="H117" s="4" t="inlineStr">
        <x:is>
          <x:t xml:space="preserve">drywall, wood, dust</x:t>
        </x:is>
      </x:c>
      <x:c r="I117" s="4" t="inlineStr">
        <x:is>
          <x:t xml:space="preserve">bathrooms, basements, HVAC, windows</x:t>
        </x:is>
      </x:c>
      <x:c r="J117" s="4" t="inlineStr">
        <x:is>
          <x:t xml:space="preserve">moderate</x:t>
        </x:is>
      </x:c>
      <x:c r="K117" s="4" t="inlineStr">
        <x:is>
          <x:t xml:space="preserve">60+</x:t>
        </x:is>
      </x:c>
      <x:c r="L117" s="4" t="inlineStr">
        <x:is>
          <x:t xml:space="preserve">15-32</x:t>
        </x:is>
      </x:c>
      <x:c r="M117" s="4" t="inlineStr">
        <x:is>
          <x:t xml:space="preserve">yes</x:t>
        </x:is>
      </x:c>
      <x:c r="N117" s="4" t="inlineStr">
        <x:is>
          <x:t xml:space="preserve">possible via dust</x:t>
        </x:is>
      </x:c>
      <x:c r="O117" s="4" t="inlineStr">
        <x:is>
          <x:t xml:space="preserve">low to moderate</x:t>
        </x:is>
      </x:c>
      <x:c r="P117" s="4" t="inlineStr">
        <x:is>
          <x:t xml:space="preserve">possible</x:t>
        </x:is>
      </x:c>
      <x:c r="Q117" s="4" t="inlineStr">
        <x:is>
          <x:t xml:space="preserve">clean visible growth, correct moisture, remove wet porous materials if extensive</x:t>
        </x:is>
      </x:c>
      <x:c r="R117" s="4" t="inlineStr">
        <x:is>
          <x:t xml:space="preserve">patchy_growth, discoloration, moisture_associated</x:t>
        </x:is>
      </x:c>
      <x:c r="S117" s="4" t="inlineStr">
        <x:is>
          <x:t xml:space="preserve">Candida visual group</x:t>
        </x:is>
      </x:c>
      <x:c r="T117" s="4" t="inlineStr">
        <x:is>
          <x:t xml:space="preserve">moderate</x:t>
        </x:is>
      </x:c>
      <x:c r="U117" s="4" t="inlineStr">
        <x:is>
          <x:t xml:space="preserve">common indoor / allergen potential</x:t>
        </x:is>
      </x:c>
      <x:c r="V117" s="4" t="inlineStr">
        <x:is>
          <x:t xml:space="preserve">24-48 hrs with persistent humidity</x:t>
        </x:is>
      </x:c>
      <x:c r="W117" s="4" t="inlineStr">
        <x:is>
          <x:t xml:space="preserve">air and/or surface depending on context</x:t>
        </x:is>
      </x:c>
      <x:c r="X117" s="4" t="inlineStr">
        <x:is>
          <x:t xml:space="preserve">no</x:t>
        </x:is>
      </x:c>
      <x:c r="Y117" s="4" t="inlineStr">
        <x:is>
          <x:t xml:space="preserve">white, gray, powdery, patchy</x:t>
        </x:is>
      </x:c>
      <x:c r="Z117" s="4" t="inlineStr">
        <x:is>
          <x:t xml:space="preserve">porous materials preferred; non-porous growth usually on possible via dust</x:t>
        </x:is>
      </x:c>
    </x:row>
    <x:row r="118">
      <x:c r="A118" s="4" t="inlineStr">
        <x:is>
          <x:t xml:space="preserve">Rhodotorula mucilaginosa</x:t>
        </x:is>
      </x:c>
      <x:c r="B118" s="4" t="inlineStr">
        <x:is>
          <x:t xml:space="preserve">Rhodotorula</x:t>
        </x:is>
      </x:c>
      <x:c r="C118" s="4" t="inlineStr">
        <x:is>
          <x:t xml:space="preserve">Common indoor</x:t>
        </x:is>
      </x:c>
      <x:c r="D118" s="4" t="inlineStr">
        <x:is>
          <x:t xml:space="preserve">white</x:t>
        </x:is>
      </x:c>
      <x:c r="E118" s="4" t="inlineStr">
        <x:is>
          <x:t xml:space="preserve">gray</x:t>
        </x:is>
      </x:c>
      <x:c r="F118" s="4" t="inlineStr">
        <x:is>
          <x:t xml:space="preserve">powdery</x:t>
        </x:is>
      </x:c>
      <x:c r="G118" s="4" t="inlineStr">
        <x:is>
          <x:t xml:space="preserve">patchy</x:t>
        </x:is>
      </x:c>
      <x:c r="H118" s="4" t="inlineStr">
        <x:is>
          <x:t xml:space="preserve">drywall, wood, dust</x:t>
        </x:is>
      </x:c>
      <x:c r="I118" s="4" t="inlineStr">
        <x:is>
          <x:t xml:space="preserve">bathrooms, basements, HVAC, windows</x:t>
        </x:is>
      </x:c>
      <x:c r="J118" s="4" t="inlineStr">
        <x:is>
          <x:t xml:space="preserve">moderate</x:t>
        </x:is>
      </x:c>
      <x:c r="K118" s="4" t="inlineStr">
        <x:is>
          <x:t xml:space="preserve">60+</x:t>
        </x:is>
      </x:c>
      <x:c r="L118" s="4" t="inlineStr">
        <x:is>
          <x:t xml:space="preserve">15-32</x:t>
        </x:is>
      </x:c>
      <x:c r="M118" s="4" t="inlineStr">
        <x:is>
          <x:t xml:space="preserve">yes</x:t>
        </x:is>
      </x:c>
      <x:c r="N118" s="4" t="inlineStr">
        <x:is>
          <x:t xml:space="preserve">possible via dust</x:t>
        </x:is>
      </x:c>
      <x:c r="O118" s="4" t="inlineStr">
        <x:is>
          <x:t xml:space="preserve">low to moderate</x:t>
        </x:is>
      </x:c>
      <x:c r="P118" s="4" t="inlineStr">
        <x:is>
          <x:t xml:space="preserve">possible</x:t>
        </x:is>
      </x:c>
      <x:c r="Q118" s="4" t="inlineStr">
        <x:is>
          <x:t xml:space="preserve">clean visible growth, correct moisture, remove wet porous materials if extensive</x:t>
        </x:is>
      </x:c>
      <x:c r="R118" s="4" t="inlineStr">
        <x:is>
          <x:t xml:space="preserve">patchy_growth, discoloration, moisture_associated</x:t>
        </x:is>
      </x:c>
      <x:c r="S118" s="4" t="inlineStr">
        <x:is>
          <x:t xml:space="preserve">Rhodotorula visual group</x:t>
        </x:is>
      </x:c>
      <x:c r="T118" s="4" t="inlineStr">
        <x:is>
          <x:t xml:space="preserve">moderate</x:t>
        </x:is>
      </x:c>
      <x:c r="U118" s="4" t="inlineStr">
        <x:is>
          <x:t xml:space="preserve">common indoor / allergen potential</x:t>
        </x:is>
      </x:c>
      <x:c r="V118" s="4" t="inlineStr">
        <x:is>
          <x:t xml:space="preserve">24-48 hrs with persistent humidity</x:t>
        </x:is>
      </x:c>
      <x:c r="W118" s="4" t="inlineStr">
        <x:is>
          <x:t xml:space="preserve">air and/or surface depending on context</x:t>
        </x:is>
      </x:c>
      <x:c r="X118" s="4" t="inlineStr">
        <x:is>
          <x:t xml:space="preserve">no</x:t>
        </x:is>
      </x:c>
      <x:c r="Y118" s="4" t="inlineStr">
        <x:is>
          <x:t xml:space="preserve">white, gray, powdery, patchy</x:t>
        </x:is>
      </x:c>
      <x:c r="Z118" s="4" t="inlineStr">
        <x:is>
          <x:t xml:space="preserve">porous materials preferred; non-porous growth usually on possible via dust</x:t>
        </x:is>
      </x:c>
    </x:row>
    <x:row r="119">
      <x:c r="A119" s="4" t="inlineStr">
        <x:is>
          <x:t xml:space="preserve">Debaryomyces hansenii</x:t>
        </x:is>
      </x:c>
      <x:c r="B119" s="4" t="inlineStr">
        <x:is>
          <x:t xml:space="preserve">Debaryomyces</x:t>
        </x:is>
      </x:c>
      <x:c r="C119" s="4" t="inlineStr">
        <x:is>
          <x:t xml:space="preserve">Common indoor</x:t>
        </x:is>
      </x:c>
      <x:c r="D119" s="4" t="inlineStr">
        <x:is>
          <x:t xml:space="preserve">white</x:t>
        </x:is>
      </x:c>
      <x:c r="E119" s="4" t="inlineStr">
        <x:is>
          <x:t xml:space="preserve">gray</x:t>
        </x:is>
      </x:c>
      <x:c r="F119" s="4" t="inlineStr">
        <x:is>
          <x:t xml:space="preserve">powdery</x:t>
        </x:is>
      </x:c>
      <x:c r="G119" s="4" t="inlineStr">
        <x:is>
          <x:t xml:space="preserve">patchy</x:t>
        </x:is>
      </x:c>
      <x:c r="H119" s="4" t="inlineStr">
        <x:is>
          <x:t xml:space="preserve">drywall, wood, dust</x:t>
        </x:is>
      </x:c>
      <x:c r="I119" s="4" t="inlineStr">
        <x:is>
          <x:t xml:space="preserve">bathrooms, basements, HVAC, windows</x:t>
        </x:is>
      </x:c>
      <x:c r="J119" s="4" t="inlineStr">
        <x:is>
          <x:t xml:space="preserve">moderate</x:t>
        </x:is>
      </x:c>
      <x:c r="K119" s="4" t="inlineStr">
        <x:is>
          <x:t xml:space="preserve">60+</x:t>
        </x:is>
      </x:c>
      <x:c r="L119" s="4" t="inlineStr">
        <x:is>
          <x:t xml:space="preserve">15-32</x:t>
        </x:is>
      </x:c>
      <x:c r="M119" s="4" t="inlineStr">
        <x:is>
          <x:t xml:space="preserve">yes</x:t>
        </x:is>
      </x:c>
      <x:c r="N119" s="4" t="inlineStr">
        <x:is>
          <x:t xml:space="preserve">possible via dust</x:t>
        </x:is>
      </x:c>
      <x:c r="O119" s="4" t="inlineStr">
        <x:is>
          <x:t xml:space="preserve">low to moderate</x:t>
        </x:is>
      </x:c>
      <x:c r="P119" s="4" t="inlineStr">
        <x:is>
          <x:t xml:space="preserve">possible</x:t>
        </x:is>
      </x:c>
      <x:c r="Q119" s="4" t="inlineStr">
        <x:is>
          <x:t xml:space="preserve">clean visible growth, correct moisture, remove wet porous materials if extensive</x:t>
        </x:is>
      </x:c>
      <x:c r="R119" s="4" t="inlineStr">
        <x:is>
          <x:t xml:space="preserve">patchy_growth, discoloration, moisture_associated</x:t>
        </x:is>
      </x:c>
      <x:c r="S119" s="4" t="inlineStr">
        <x:is>
          <x:t xml:space="preserve">Debaryomyces visual group</x:t>
        </x:is>
      </x:c>
      <x:c r="T119" s="4" t="inlineStr">
        <x:is>
          <x:t xml:space="preserve">moderate</x:t>
        </x:is>
      </x:c>
      <x:c r="U119" s="4" t="inlineStr">
        <x:is>
          <x:t xml:space="preserve">common indoor / allergen potential</x:t>
        </x:is>
      </x:c>
      <x:c r="V119" s="4" t="inlineStr">
        <x:is>
          <x:t xml:space="preserve">24-48 hrs with persistent humidity</x:t>
        </x:is>
      </x:c>
      <x:c r="W119" s="4" t="inlineStr">
        <x:is>
          <x:t xml:space="preserve">air and/or surface depending on context</x:t>
        </x:is>
      </x:c>
      <x:c r="X119" s="4" t="inlineStr">
        <x:is>
          <x:t xml:space="preserve">no</x:t>
        </x:is>
      </x:c>
      <x:c r="Y119" s="4" t="inlineStr">
        <x:is>
          <x:t xml:space="preserve">white, gray, powdery, patchy</x:t>
        </x:is>
      </x:c>
      <x:c r="Z119" s="4" t="inlineStr">
        <x:is>
          <x:t xml:space="preserve">porous materials preferred; non-porous growth usually on possible via dust</x:t>
        </x:is>
      </x:c>
    </x:row>
    <x:row r="120">
      <x:c r="A120" s="4" t="inlineStr">
        <x:is>
          <x:t xml:space="preserve">Malassezia furfur</x:t>
        </x:is>
      </x:c>
      <x:c r="B120" s="4" t="inlineStr">
        <x:is>
          <x:t xml:space="preserve">Malassezia</x:t>
        </x:is>
      </x:c>
      <x:c r="C120" s="4" t="inlineStr">
        <x:is>
          <x:t xml:space="preserve">Common indoor</x:t>
        </x:is>
      </x:c>
      <x:c r="D120" s="4" t="inlineStr">
        <x:is>
          <x:t xml:space="preserve">white</x:t>
        </x:is>
      </x:c>
      <x:c r="E120" s="4" t="inlineStr">
        <x:is>
          <x:t xml:space="preserve">gray</x:t>
        </x:is>
      </x:c>
      <x:c r="F120" s="4" t="inlineStr">
        <x:is>
          <x:t xml:space="preserve">powdery</x:t>
        </x:is>
      </x:c>
      <x:c r="G120" s="4" t="inlineStr">
        <x:is>
          <x:t xml:space="preserve">patchy</x:t>
        </x:is>
      </x:c>
      <x:c r="H120" s="4" t="inlineStr">
        <x:is>
          <x:t xml:space="preserve">drywall, wood, dust</x:t>
        </x:is>
      </x:c>
      <x:c r="I120" s="4" t="inlineStr">
        <x:is>
          <x:t xml:space="preserve">bathrooms, basements, HVAC, windows</x:t>
        </x:is>
      </x:c>
      <x:c r="J120" s="4" t="inlineStr">
        <x:is>
          <x:t xml:space="preserve">moderate</x:t>
        </x:is>
      </x:c>
      <x:c r="K120" s="4" t="inlineStr">
        <x:is>
          <x:t xml:space="preserve">60+</x:t>
        </x:is>
      </x:c>
      <x:c r="L120" s="4" t="inlineStr">
        <x:is>
          <x:t xml:space="preserve">15-32</x:t>
        </x:is>
      </x:c>
      <x:c r="M120" s="4" t="inlineStr">
        <x:is>
          <x:t xml:space="preserve">yes</x:t>
        </x:is>
      </x:c>
      <x:c r="N120" s="4" t="inlineStr">
        <x:is>
          <x:t xml:space="preserve">possible via dust</x:t>
        </x:is>
      </x:c>
      <x:c r="O120" s="4" t="inlineStr">
        <x:is>
          <x:t xml:space="preserve">low to moderate</x:t>
        </x:is>
      </x:c>
      <x:c r="P120" s="4" t="inlineStr">
        <x:is>
          <x:t xml:space="preserve">possible</x:t>
        </x:is>
      </x:c>
      <x:c r="Q120" s="4" t="inlineStr">
        <x:is>
          <x:t xml:space="preserve">clean visible growth, correct moisture, remove wet porous materials if extensive</x:t>
        </x:is>
      </x:c>
      <x:c r="R120" s="4" t="inlineStr">
        <x:is>
          <x:t xml:space="preserve">patchy_growth, discoloration, moisture_associated</x:t>
        </x:is>
      </x:c>
      <x:c r="S120" s="4" t="inlineStr">
        <x:is>
          <x:t xml:space="preserve">Malassezia visual group</x:t>
        </x:is>
      </x:c>
      <x:c r="T120" s="4" t="inlineStr">
        <x:is>
          <x:t xml:space="preserve">moderate</x:t>
        </x:is>
      </x:c>
      <x:c r="U120" s="4" t="inlineStr">
        <x:is>
          <x:t xml:space="preserve">common indoor / allergen potential</x:t>
        </x:is>
      </x:c>
      <x:c r="V120" s="4" t="inlineStr">
        <x:is>
          <x:t xml:space="preserve">24-48 hrs with persistent humidity</x:t>
        </x:is>
      </x:c>
      <x:c r="W120" s="4" t="inlineStr">
        <x:is>
          <x:t xml:space="preserve">air and/or surface depending on context</x:t>
        </x:is>
      </x:c>
      <x:c r="X120" s="4" t="inlineStr">
        <x:is>
          <x:t xml:space="preserve">no</x:t>
        </x:is>
      </x:c>
      <x:c r="Y120" s="4" t="inlineStr">
        <x:is>
          <x:t xml:space="preserve">white, gray, powdery, patchy</x:t>
        </x:is>
      </x:c>
      <x:c r="Z120" s="4" t="inlineStr">
        <x:is>
          <x:t xml:space="preserve">porous materials preferred; non-porous growth usually on possible via dust</x:t>
        </x:is>
      </x:c>
    </x:row>
  </x:sheetData>
  <x:mergeCells>
    <x:mergeCell ref="A1:Z1"/>
    <x:mergeCell ref="A2:R2"/>
    <x:mergeCell ref="A1:R1"/>
    <x:mergeCell ref="A2:Z2"/>
  </x:mergeCells>
  <x:pageMargins left="0.7" right="0.7" top="0.75" bottom="0.75" header="0.3" footer="0.3"/>
  <x:tableParts count="1">
    <x:tablePart xmlns:r="http://schemas.openxmlformats.org/officeDocument/2006/relationships" r:id="Rb1d48f9ffbd94c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34" customWidth="1"/>
    <x:col min="3" max="3" width="24" customWidth="1"/>
    <x:col min="4" max="4" width="85" customWidth="1"/>
  </x:cols>
  <x:sheetData>
    <x:row r="1" ht="22" customHeight="1">
      <x:c r="A1" s="25" t="inlineStr">
        <x:is>
          <x:t xml:space="preserve">Home Health AI Mold Database v7 Full AI Mold Intelligence System – Summary</x:t>
        </x:is>
      </x:c>
    </x:row>
    <x:row r="2" ht="22" customHeight="1">
      <x:c r="A2" s="41" t="inlineStr">
        <x:is>
          <x:t xml:space="preserve">Executive metrics for Home Health AI / Inspector Gnome.</x:t>
        </x:is>
      </x:c>
      <x:c r="B2" s="40" t="n"/>
      <x:c r="C2" s="40" t="n"/>
      <x:c r="D2" s="40" t="n"/>
      <x:c r="E2" s="40" t="n"/>
      <x:c r="F2" s="40" t="n"/>
      <x:c r="G2" s="40" t="n"/>
      <x:c r="H2" s="40" t="n"/>
      <x:c r="I2" s="40" t="n"/>
      <x:c r="J2" s="40" t="n"/>
    </x:row>
    <x:row r="3">
      <x:c r="A3" s="26" t="inlineStr">
        <x:is>
          <x:t xml:space="preserve">Total species</x:t>
        </x:is>
      </x:c>
      <x:c r="B3" s="27">
        <x:f>COUNTA('mold_species_dataset'!A4:A1000)</x:f>
      </x:c>
      <x:c r="D3" s="4" t="inlineStr">
        <x:is>
          <x:t xml:space="preserve">All homes contain mold spores. The problem is elevated indoor spore levels and/or active colony growth driven by moisture.</x:t>
        </x:is>
      </x:c>
    </x:row>
    <x:row r="4" ht="22" customHeight="1">
      <x:c r="A4" s="26" t="inlineStr">
        <x:is>
          <x:t xml:space="preserve">Unique genera</x:t>
        </x:is>
      </x:c>
      <x:c r="B4" s="27" t="n">
        <x:v>68</x:v>
      </x:c>
      <x:c r="D4" t="inlineStr">
        <x:is>
          <x:t xml:space="preserve">Use moisture + material + visual pattern + lab context together. Never diagnose from color alone.</x:t>
        </x:is>
      </x:c>
    </x:row>
    <x:row r="5">
      <x:c r="A5" s="26" t="inlineStr">
        <x:is>
          <x:t xml:space="preserve">High moisture species</x:t>
        </x:is>
      </x:c>
      <x:c r="B5" s="27">
        <x:f>COUNTIF('mold_species_dataset'!J4:J1000,"high")</x:f>
      </x:c>
      <x:c r="D5" t="inlineStr">
        <x:is>
          <x:t xml:space="preserve">High-moisture molds are stronger indicators of chronic wet conditions.</x:t>
        </x:is>
      </x:c>
    </x:row>
    <x:row r="6">
      <x:c r="A6" s="26" t="inlineStr">
        <x:is>
          <x:t xml:space="preserve">Moderate moisture species</x:t>
        </x:is>
      </x:c>
      <x:c r="B6" s="27">
        <x:f>COUNTIF('mold_species_dataset'!J4:J1000,"moderate")</x:f>
      </x:c>
      <x:c r="D6" t="inlineStr">
        <x:is>
          <x:t xml:space="preserve">Moderate-moisture molds may appear with humidity, condensation, HVAC, or intermittent leaks.</x:t>
        </x:is>
      </x:c>
    </x:row>
    <x:row r="7">
      <x:c r="A7" s="26" t="inlineStr">
        <x:is>
          <x:t xml:space="preserve">Low moisture species</x:t>
        </x:is>
      </x:c>
      <x:c r="B7" s="27">
        <x:f>COUNTIF('mold_species_dataset'!J4:J1000,"low")</x:f>
      </x:c>
      <x:c r="D7" t="inlineStr">
        <x:is>
          <x:t xml:space="preserve">Low-moisture molds may still matter if amplification or susceptible occupants are present.</x:t>
        </x:is>
      </x:c>
    </x:row>
    <x:row r="8">
      <x:c r="A8" s="26" t="inlineStr">
        <x:is>
          <x:t xml:space="preserve">Known mycotoxin producers</x:t>
        </x:is>
      </x:c>
      <x:c r="B8" s="27">
        <x:f>COUNTIF('mold_species_dataset'!P4:P1000,"Yes")</x:f>
      </x:c>
      <x:c r="D8" t="inlineStr">
        <x:is>
          <x:t xml:space="preserve">Toxin potential increases priority, but risk communication should stay careful and non-medical.</x:t>
        </x:is>
      </x:c>
    </x:row>
    <x:row r="9">
      <x:c r="A9" s="26" t="inlineStr">
        <x:is>
          <x:t xml:space="preserve">Warning marker species</x:t>
        </x:is>
      </x:c>
      <x:c r="B9" s="27">
        <x:f>COUNTIF('mold_species_dataset'!X4:X1000,"Yes")</x:f>
      </x:c>
      <x:c r="D9" t="inlineStr">
        <x:is>
          <x:t xml:space="preserve">Marker molds can warn of conditions that support Stachybotrys-like growth.</x:t>
        </x:is>
      </x:c>
    </x:row>
    <x:row r="10">
      <x:c r="A10" s="26" t="inlineStr">
        <x:is>
          <x:t xml:space="preserve">Visual AI labels</x:t>
        </x:is>
      </x:c>
      <x:c r="B10" s="27">
        <x:f>COUNTA('Image Label Taxonomy'!A5:A1000)</x:f>
      </x:c>
      <x:c r="D10" t="inlineStr">
        <x:is>
          <x:t xml:space="preserve">Image taxonomy powers computer vision labeling and QA.</x:t>
        </x:is>
      </x:c>
    </x:row>
    <x:row r="11">
      <x:c r="A11" s="26" t="inlineStr">
        <x:is>
          <x:t xml:space="preserve">Early detection signs</x:t>
        </x:is>
      </x:c>
      <x:c r="B11" s="27">
        <x:f>COUNTA('AI Early Detection Signs'!A2:A1000)</x:f>
      </x:c>
      <x:c r="D11" t="inlineStr">
        <x:is>
          <x:t xml:space="preserve">Early signs help AI catch issues before visible colonies dominate.</x:t>
        </x:is>
      </x:c>
    </x:row>
    <x:row r="12">
      <x:c r="A12" s="26" t="inlineStr">
        <x:is>
          <x:t xml:space="preserve">Cleaning agent entries</x:t>
        </x:is>
      </x:c>
      <x:c r="B12" s="27">
        <x:f>COUNTA('Cleaning Agents'!A2:A1000)</x:f>
      </x:c>
      <x:c r="D12" t="inlineStr">
        <x:is>
          <x:t xml:space="preserve">Cleaning guidance should never replace removal of wet, mold-damaged porous materials.</x:t>
        </x:is>
      </x:c>
    </x:row>
    <x:row r="13">
      <x:c r="A13" s="26" t="inlineStr">
        <x:is>
          <x:t xml:space="preserve">Lab rule rows</x:t>
        </x:is>
      </x:c>
      <x:c r="B13" s="27">
        <x:f>COUNTA('Lab Interpretation Rules'!A5:A1000)</x:f>
      </x:c>
      <x:c r="D13" t="inlineStr">
        <x:is>
          <x:t xml:space="preserve">Lab interpretation rules anchor the app to real-world mold reporting language.</x:t>
        </x:is>
      </x:c>
    </x:row>
    <x:row r="14">
      <x:c r="A14" s="28" t="inlineStr">
        <x:is>
          <x:t xml:space="preserve">Real lab data rows</x:t>
        </x:is>
      </x:c>
      <x:c r="B14" s="29">
        <x:f>COUNTA('Real Lab Data Training'!A5:A1000)</x:f>
      </x:c>
      <x:c r="D14" t="inlineStr">
        <x:is>
          <x:t xml:space="preserve">Real reports improve calibration and reduce overconfident AI claims.</x:t>
        </x:is>
      </x:c>
    </x:row>
    <x:row r="15">
      <x:c r="A15" s="26" t="inlineStr">
        <x:is>
          <x:t xml:space="preserve">System control scenarios</x:t>
        </x:is>
      </x:c>
      <x:c r="B15" s="27">
        <x:f>COUNTA('Control Center'!A5:A1000)</x:f>
      </x:c>
      <x:c r="D15" t="inlineStr">
        <x:is>
          <x:t xml:space="preserve">Control scenarios allow quick MVP testing.</x:t>
        </x:is>
      </x:c>
    </x:row>
    <x:row r="16">
      <x:c r="A16" t="inlineStr">
        <x:is>
          <x:t xml:space="preserve">Allergenic / Opportunistic</x:t>
        </x:is>
      </x:c>
      <x:c r="B16" t="n">
        <x:v>10</x:v>
      </x:c>
    </x:row>
    <x:row r="17">
      <x:c r="A17" t="inlineStr">
        <x:is>
          <x:t xml:space="preserve">Common indoor</x:t>
        </x:is>
      </x:c>
      <x:c r="B17">
        <x:f>COUNTIF('mold_species_dataset'!C4:C122,A17)</x:f>
      </x:c>
    </x:row>
    <x:row r="18">
      <x:c r="A18" t="inlineStr">
        <x:is>
          <x:t xml:space="preserve">Dry environment mold</x:t>
        </x:is>
      </x:c>
      <x:c r="B18">
        <x:f>COUNTIF('mold_species_dataset'!C4:C122,A18)</x:f>
      </x:c>
    </x:row>
    <x:row r="19">
      <x:c r="A19" t="inlineStr">
        <x:is>
          <x:t xml:space="preserve">Fast-growing indoor</x:t>
        </x:is>
      </x:c>
      <x:c r="B19">
        <x:f>COUNTIF('mold_species_dataset'!C4:C122,A19)</x:f>
      </x:c>
    </x:row>
    <x:row r="20">
      <x:c r="A20" t="inlineStr">
        <x:is>
          <x:t xml:space="preserve">Pathogenic / Water damage mold</x:t>
        </x:is>
      </x:c>
      <x:c r="B20">
        <x:f>COUNTIF('mold_species_dataset'!C4:C122,A20)</x:f>
      </x:c>
    </x:row>
    <x:row r="21">
      <x:c r="A21" t="inlineStr">
        <x:is>
          <x:t xml:space="preserve">Toxigenic</x:t>
        </x:is>
      </x:c>
      <x:c r="B21">
        <x:f>COUNTIF('mold_species_dataset'!C4:C122,A21)</x:f>
      </x:c>
    </x:row>
    <x:row r="22">
      <x:c r="A22" t="inlineStr">
        <x:is>
          <x:t xml:space="preserve">Water damage mold</x:t>
        </x:is>
      </x:c>
      <x:c r="B22">
        <x:f>COUNTIF('mold_species_dataset'!C4:C122,A22)</x:f>
      </x:c>
    </x:row>
    <x:row r="23">
      <x:c r="B23">
        <x:f>COUNTIF('mold_species_dataset'!C4:C122,A23)</x:f>
      </x:c>
    </x:row>
    <x:row r="24">
      <x:c r="A24" s="10" t="inlineStr">
        <x:is>
          <x:t xml:space="preserve">New in v5</x:t>
        </x:is>
      </x:c>
      <x:c r="B24" t="inlineStr">
        <x:is>
          <x:t xml:space="preserve">Moisture-source classification, room-by-room inspection logic, remediation decision framework, and image-label taxonomy.</x:t>
        </x:is>
      </x:c>
    </x:row>
    <x:row r="25">
      <x:c r="A25" t="inlineStr">
        <x:is>
          <x:t xml:space="preserve">Primary benefit</x:t>
        </x:is>
      </x:c>
      <x:c r="B25" t="inlineStr">
        <x:is>
          <x:t xml:space="preserve">Improves AI triage, makes outputs more explainable, and creates training labels your developer can use for computer vision and workflow logic.</x:t>
        </x:is>
      </x:c>
    </x:row>
    <x:row r="26">
      <x:c r="A26" t="inlineStr">
        <x:is>
          <x:t xml:space="preserve">Best use</x:t>
        </x:is>
      </x:c>
      <x:c r="B26" t="inlineStr">
        <x:is>
          <x:t xml:space="preserve">Pair with v4 decision tree and scoring model so the app can identify likely source, room context, recommended next step, and appropriate wording.</x:t>
        </x:is>
      </x:c>
    </x:row>
    <x:row r="27"/>
    <x:row r="28"/>
    <x:row r="29">
      <x:c r="A29" t="inlineStr">
        <x:is>
          <x:t xml:space="preserve">Integrated uploaded files</x:t>
        </x:is>
      </x:c>
      <x:c r="B29" s="4" t="inlineStr">
        <x:is>
          <x:t xml:space="preserve">SanAir analysis report example + Lab Information interpretation guide</x:t>
        </x:is>
      </x:c>
    </x:row>
    <x:row r="30">
      <x:c r="A30" t="inlineStr">
        <x:is>
          <x:t xml:space="preserve">What was added</x:t>
        </x:is>
      </x:c>
      <x:c r="B30" s="4" t="inlineStr">
        <x:is>
          <x:t xml:space="preserve">Lab Interpretation Rules sheet, Lab Sample Examples sheet, direct-ID scale, background-density logic, and training-safe sample examples.</x:t>
        </x:is>
      </x:c>
    </x:row>
  </x:sheetData>
  <x:mergeCells>
    <x:mergeCell ref="A1:D1"/>
    <x:mergeCell ref="A1:J1"/>
    <x:mergeCell ref="A2:J2"/>
  </x:mergeCells>
  <x:pageMargins left="0.7" right="0.7" top="0.75" bottom="0.75" header="0.3" footer="0.3"/>
  <x:legacyDrawing xmlns:r="http://schemas.openxmlformats.org/officeDocument/2006/relationships" r:id="R998ba104f9bc41e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34" customWidth="1"/>
    <x:col min="3" max="3" width="22" customWidth="1"/>
    <x:col min="4" max="4" width="24" customWidth="1"/>
    <x:col min="5" max="5" width="24" customWidth="1"/>
  </x:cols>
  <x:sheetData>
    <x:row r="1" ht="22" customHeight="1">
      <x:c r="A1" s="25" t="inlineStr">
        <x:is>
          <x:t xml:space="preserve">sign_name</x:t>
        </x:is>
      </x:c>
    </x:row>
    <x:row r="2" ht="22" customHeight="1">
      <x:c r="A2" s="30" t="inlineStr">
        <x:is>
          <x:t xml:space="preserve">Micro-speckling</x:t>
        </x:is>
      </x:c>
    </x:row>
    <x:row r="3">
      <x:c r="A3" s="4" t="inlineStr">
        <x:is>
          <x:t xml:space="preserve">Moisture halo</x:t>
        </x:is>
      </x:c>
      <x:c r="B3" s="4" t="inlineStr">
        <x:is>
          <x:t xml:space="preserve">circular or irregular stain edge around leak path</x:t>
        </x:is>
      </x:c>
      <x:c r="C3" s="4" t="inlineStr">
        <x:is>
          <x:t xml:space="preserve">drywall, plaster</x:t>
        </x:is>
      </x:c>
      <x:c r="D3" s="4" t="inlineStr">
        <x:is>
          <x:t xml:space="preserve">higher if color gradient present</x:t>
        </x:is>
      </x:c>
      <x:c r="E3" s="4" t="inlineStr">
        <x:is>
          <x:t xml:space="preserve">check leak/condensation</x:t>
        </x:is>
      </x:c>
    </x:row>
    <x:row r="4" ht="22" customHeight="1">
      <x:c r="A4" s="4" t="inlineStr">
        <x:is>
          <x:t xml:space="preserve">Glossy sheen</x:t>
        </x:is>
      </x:c>
      <x:c r="B4" s="4" t="inlineStr">
        <x:is>
          <x:t xml:space="preserve">localized wet reflective patch</x:t>
        </x:is>
      </x:c>
      <x:c r="C4" s="4" t="inlineStr">
        <x:is>
          <x:t xml:space="preserve">paint, wood, caulk</x:t>
        </x:is>
      </x:c>
      <x:c r="D4" s="4" t="inlineStr">
        <x:is>
          <x:t xml:space="preserve">higher with repeated humidity</x:t>
        </x:is>
      </x:c>
      <x:c r="E4" s="4" t="inlineStr">
        <x:is>
          <x:t xml:space="preserve">reduce RH and inspect source</x:t>
        </x:is>
      </x:c>
    </x:row>
    <x:row r="5">
      <x:c r="A5" s="4" t="inlineStr">
        <x:is>
          <x:t xml:space="preserve">Texture lift</x:t>
        </x:is>
      </x:c>
      <x:c r="B5" s="4" t="inlineStr">
        <x:is>
          <x:t xml:space="preserve">raised or fuzzy surface compared with adjacent area</x:t>
        </x:is>
      </x:c>
      <x:c r="C5" s="4" t="inlineStr">
        <x:is>
          <x:t xml:space="preserve">wallpaper, drywall</x:t>
        </x:is>
      </x:c>
      <x:c r="D5" s="4" t="inlineStr">
        <x:is>
          <x:t xml:space="preserve">higher if edge is irregular</x:t>
        </x:is>
      </x:c>
      <x:c r="E5" s="4" t="inlineStr">
        <x:is>
          <x:t xml:space="preserve">capture macro image and inspect</x:t>
        </x:is>
      </x:c>
    </x:row>
    <x:row r="6">
      <x:c r="A6" s="4" t="inlineStr">
        <x:is>
          <x:t xml:space="preserve">Concentric rings</x:t>
        </x:is>
      </x:c>
      <x:c r="B6" s="4" t="inlineStr">
        <x:is>
          <x:t xml:space="preserve">ringed colony structure</x:t>
        </x:is>
      </x:c>
      <x:c r="C6" s="4" t="inlineStr">
        <x:is>
          <x:t xml:space="preserve">window trim, caulk</x:t>
        </x:is>
      </x:c>
      <x:c r="D6" s="4" t="inlineStr">
        <x:is>
          <x:t xml:space="preserve">suggestive for Alternaria-like growth</x:t>
        </x:is>
      </x:c>
      <x:c r="E6" s="4" t="inlineStr">
        <x:is>
          <x:t xml:space="preserve">clean/inspect promptly</x:t>
        </x:is>
      </x:c>
    </x:row>
    <x:row r="7">
      <x:c r="A7" s="4" t="inlineStr">
        <x:is>
          <x:t xml:space="preserve">Velvet patch</x:t>
        </x:is>
      </x:c>
      <x:c r="B7" s="4" t="inlineStr">
        <x:is>
          <x:t xml:space="preserve">matte velvet-like patch</x:t>
        </x:is>
      </x:c>
      <x:c r="C7" s="4" t="inlineStr">
        <x:is>
          <x:t xml:space="preserve">painted surfaces, wood</x:t>
        </x:is>
      </x:c>
      <x:c r="D7" s="4" t="inlineStr">
        <x:is>
          <x:t xml:space="preserve">common in Cladosporium/Alternaria</x:t>
        </x:is>
      </x:c>
      <x:c r="E7" s="4" t="inlineStr">
        <x:is>
          <x:t xml:space="preserve">confirm moisture and sample if needed</x:t>
        </x:is>
      </x:c>
    </x:row>
    <x:row r="8">
      <x:c r="A8" s="4" t="inlineStr">
        <x:is>
          <x:t xml:space="preserve">Pink-black streaking</x:t>
        </x:is>
      </x:c>
      <x:c r="B8" s="4" t="inlineStr">
        <x:is>
          <x:t xml:space="preserve">pink or black streaks in condensation zones</x:t>
        </x:is>
      </x:c>
      <x:c r="C8" s="4" t="inlineStr">
        <x:is>
          <x:t xml:space="preserve">window tracks, caulk</x:t>
        </x:is>
      </x:c>
      <x:c r="D8" s="4" t="inlineStr">
        <x:is>
          <x:t xml:space="preserve">common for Aureobasidium-like growth</x:t>
        </x:is>
      </x:c>
      <x:c r="E8" s="4" t="inlineStr">
        <x:is>
          <x:t xml:space="preserve">clean and control condensation</x:t>
        </x:is>
      </x:c>
    </x:row>
    <x:row r="9">
      <x:c r="A9" s="4" t="inlineStr">
        <x:is>
          <x:t xml:space="preserve">Green powder bloom</x:t>
        </x:is>
      </x:c>
      <x:c r="B9" s="4" t="inlineStr">
        <x:is>
          <x:t xml:space="preserve">fine green dust-like bloom</x:t>
        </x:is>
      </x:c>
      <x:c r="C9" s="4" t="inlineStr">
        <x:is>
          <x:t xml:space="preserve">HVAC dust, insulation</x:t>
        </x:is>
      </x:c>
      <x:c r="D9" s="4" t="inlineStr">
        <x:is>
          <x:t xml:space="preserve">common in Aspergillus/Penicillium patterns</x:t>
        </x:is>
      </x:c>
      <x:c r="E9" s="4" t="inlineStr">
        <x:is>
          <x:t xml:space="preserve">use PPE and HEPA clean</x:t>
        </x:is>
      </x:c>
    </x:row>
    <x:row r="10">
      <x:c r="A10" s="4" t="inlineStr">
        <x:is>
          <x:t xml:space="preserve">Cottony white growth</x:t>
        </x:is>
      </x:c>
      <x:c r="B10" s="4" t="inlineStr">
        <x:is>
          <x:t xml:space="preserve">soft tufted early growth</x:t>
        </x:is>
      </x:c>
      <x:c r="C10" s="4" t="inlineStr">
        <x:is>
          <x:t xml:space="preserve">cellulose materials</x:t>
        </x:is>
      </x:c>
      <x:c r="D10" s="4" t="inlineStr">
        <x:is>
          <x:t xml:space="preserve">higher concern on wet drywall</x:t>
        </x:is>
      </x:c>
      <x:c r="E10" s="4" t="inlineStr">
        <x:is>
          <x:t xml:space="preserve">remove wet porous material</x:t>
        </x:is>
      </x:c>
    </x:row>
    <x:row r="11">
      <x:c r="A11" s="4" t="inlineStr">
        <x:is>
          <x:t xml:space="preserve">Dark wet-zone patch</x:t>
        </x:is>
      </x:c>
      <x:c r="B11" s="4" t="inlineStr">
        <x:is>
          <x:t xml:space="preserve">dark patch confined to chronically wet area</x:t>
        </x:is>
      </x:c>
      <x:c r="C11" s="4" t="inlineStr">
        <x:is>
          <x:t xml:space="preserve">subfloors, walls</x:t>
        </x:is>
      </x:c>
      <x:c r="D11" s="4" t="inlineStr">
        <x:is>
          <x:t xml:space="preserve">higher concern if slimy</x:t>
        </x:is>
      </x:c>
      <x:c r="E11" s="4" t="inlineStr">
        <x:is>
          <x:t xml:space="preserve">isolate and assess</x:t>
        </x:is>
      </x:c>
    </x:row>
    <x:row r="12">
      <x:c r="A12" s="4" t="inlineStr">
        <x:is>
          <x:t xml:space="preserve">Pepper vent spotting</x:t>
        </x:is>
      </x:c>
      <x:c r="B12" s="4" t="inlineStr">
        <x:is>
          <x:t xml:space="preserve">speckling around registers</x:t>
        </x:is>
      </x:c>
      <x:c r="C12" s="4" t="inlineStr">
        <x:is>
          <x:t xml:space="preserve">HVAC diffusers, ceiling</x:t>
        </x:is>
      </x:c>
      <x:c r="D12" s="4" t="inlineStr">
        <x:is>
          <x:t xml:space="preserve">higher if repeated after cleaning</x:t>
        </x:is>
      </x:c>
      <x:c r="E12" s="4" t="inlineStr">
        <x:is>
          <x:t xml:space="preserve">inspect ducts and RH</x:t>
        </x:is>
      </x:c>
    </x:row>
    <x:row r="13">
      <x:c r="A13" s="4" t="inlineStr">
        <x:is>
          <x:t xml:space="preserve">Bubbling paint</x:t>
        </x:is>
      </x:c>
      <x:c r="B13" s="4" t="inlineStr">
        <x:is>
          <x:t xml:space="preserve">surface deformation with discoloration</x:t>
        </x:is>
      </x:c>
      <x:c r="C13" s="4" t="inlineStr">
        <x:is>
          <x:t xml:space="preserve">painted drywall</x:t>
        </x:is>
      </x:c>
      <x:c r="D13" s="4" t="inlineStr">
        <x:is>
          <x:t xml:space="preserve">not mold alone but strong moisture precursor</x:t>
        </x:is>
      </x:c>
      <x:c r="E13" s="4" t="inlineStr">
        <x:is>
          <x:t xml:space="preserve">open wall if persistent</x:t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9be4f9767f634b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8" customWidth="1"/>
    <x:col min="3" max="3" width="20" customWidth="1"/>
    <x:col min="4" max="4" width="22" customWidth="1"/>
    <x:col min="5" max="5" width="28" customWidth="1"/>
  </x:cols>
  <x:sheetData>
    <x:row r="1" ht="22" customHeight="1">
      <x:c r="A1" s="25" t="inlineStr">
        <x:is>
          <x:t xml:space="preserve">agent</x:t>
        </x:is>
      </x:c>
    </x:row>
    <x:row r="2" ht="22" customHeight="1">
      <x:c r="A2" s="30" t="inlineStr">
        <x:is>
          <x:t xml:space="preserve">Dawn dish soap / detergent</x:t>
        </x:is>
      </x:c>
    </x:row>
    <x:row r="3">
      <x:c r="A3" s="4" t="inlineStr">
        <x:is>
          <x:t xml:space="preserve">Hydrogen peroxide</x:t>
        </x:is>
      </x:c>
      <x:c r="B3" s="4" t="inlineStr">
        <x:is>
          <x:t xml:space="preserve">light staining and surface disinfection support</x:t>
        </x:is>
      </x:c>
      <x:c r="C3" s="4" t="inlineStr">
        <x:is>
          <x:t xml:space="preserve">tile, grout, some hard surfaces</x:t>
        </x:is>
      </x:c>
      <x:c r="D3" s="4" t="inlineStr">
        <x:is>
          <x:t xml:space="preserve">test fabrics and finished wood first</x:t>
        </x:is>
      </x:c>
      <x:c r="E3" s="4" t="inlineStr">
        <x:is>
          <x:t xml:space="preserve">can lighten staining</x:t>
        </x:is>
      </x:c>
    </x:row>
    <x:row r="4" ht="22" customHeight="1">
      <x:c r="A4" s="4" t="inlineStr">
        <x:is>
          <x:t xml:space="preserve">Vinegar</x:t>
        </x:is>
      </x:c>
      <x:c r="B4" s="4" t="inlineStr">
        <x:is>
          <x:t xml:space="preserve">mild cleaning where appropriate</x:t>
        </x:is>
      </x:c>
      <x:c r="C4" s="4" t="inlineStr">
        <x:is>
          <x:t xml:space="preserve">tile, glass, some non-stone surfaces</x:t>
        </x:is>
      </x:c>
      <x:c r="D4" s="4" t="inlineStr">
        <x:is>
          <x:t xml:space="preserve">avoid natural stone and incompatible finishes</x:t>
        </x:is>
      </x:c>
      <x:c r="E4" s="4" t="inlineStr">
        <x:is>
          <x:t xml:space="preserve">household option, not a substitute for drying</x:t>
        </x:is>
      </x:c>
    </x:row>
    <x:row r="5">
      <x:c r="A5" s="4" t="inlineStr">
        <x:is>
          <x:t xml:space="preserve">HEPA vacuum</x:t>
        </x:is>
      </x:c>
      <x:c r="B5" s="4" t="inlineStr">
        <x:is>
          <x:t xml:space="preserve">spore capture during cleanup</x:t>
        </x:is>
      </x:c>
      <x:c r="C5" s="4" t="inlineStr">
        <x:is>
          <x:t xml:space="preserve">dry surfaces and surrounding dust</x:t>
        </x:is>
      </x:c>
      <x:c r="D5" s="4" t="inlineStr">
        <x:is>
          <x:t xml:space="preserve">do not use standard vacuum</x:t>
        </x:is>
      </x:c>
      <x:c r="E5" s="4" t="inlineStr">
        <x:is>
          <x:t xml:space="preserve">best paired with damp wipe</x:t>
        </x:is>
      </x:c>
    </x:row>
    <x:row r="6">
      <x:c r="A6" s="4" t="inlineStr">
        <x:is>
          <x:t xml:space="preserve">Microfiber damp wipe</x:t>
        </x:is>
      </x:c>
      <x:c r="B6" s="4" t="inlineStr">
        <x:is>
          <x:t xml:space="preserve">final wipe after HEPA removal</x:t>
        </x:is>
      </x:c>
      <x:c r="C6" s="4" t="inlineStr">
        <x:is>
          <x:t xml:space="preserve">non-porous surfaces</x:t>
        </x:is>
      </x:c>
      <x:c r="D6" s="4" t="inlineStr">
        <x:is>
          <x:t xml:space="preserve">avoid oversaturating materials</x:t>
        </x:is>
      </x:c>
      <x:c r="E6" s="4" t="inlineStr">
        <x:is>
          <x:t xml:space="preserve">change cloths frequently</x:t>
        </x:is>
      </x:c>
    </x:row>
    <x:row r="7">
      <x:c r="A7" s="4" t="inlineStr">
        <x:is>
          <x:t xml:space="preserve">Concrobium or similar</x:t>
        </x:is>
      </x:c>
      <x:c r="B7" s="4" t="inlineStr">
        <x:is>
          <x:t xml:space="preserve">post-cleaning control on some surfaces</x:t>
        </x:is>
      </x:c>
      <x:c r="C7" s="4" t="inlineStr">
        <x:is>
          <x:t xml:space="preserve">framing, sheathing, hard surfaces</x:t>
        </x:is>
      </x:c>
      <x:c r="D7" s="4" t="inlineStr">
        <x:is>
          <x:t xml:space="preserve">follow label; not a shortcut for demolition</x:t>
        </x:is>
      </x:c>
      <x:c r="E7" s="4" t="inlineStr">
        <x:is>
          <x:t xml:space="preserve">commonly used in remediation workflows</x:t>
        </x:is>
      </x:c>
    </x:row>
    <x:row r="8">
      <x:c r="A8" s="4" t="inlineStr">
        <x:is>
          <x:t xml:space="preserve">Botanical antimicrobial</x:t>
        </x:is>
      </x:c>
      <x:c r="B8" s="4" t="inlineStr">
        <x:is>
          <x:t xml:space="preserve">supplemental cleaning</x:t>
        </x:is>
      </x:c>
      <x:c r="C8" s="4" t="inlineStr">
        <x:is>
          <x:t xml:space="preserve">hard surfaces</x:t>
        </x:is>
      </x:c>
      <x:c r="D8" s="4" t="inlineStr">
        <x:is>
          <x:t xml:space="preserve">not a replacement for moisture control</x:t>
        </x:is>
      </x:c>
      <x:c r="E8" s="4" t="inlineStr">
        <x:is>
          <x:t xml:space="preserve">follow label and ventilation guidance</x:t>
        </x:is>
      </x:c>
    </x:row>
    <x:row r="9">
      <x:c r="A9" s="4" t="inlineStr">
        <x:is>
          <x:t xml:space="preserve">Enzyme cleaner</x:t>
        </x:is>
      </x:c>
      <x:c r="B9" s="4" t="inlineStr">
        <x:is>
          <x:t xml:space="preserve">organic residue removal</x:t>
        </x:is>
      </x:c>
      <x:c r="C9" s="4" t="inlineStr">
        <x:is>
          <x:t xml:space="preserve">some hard surfaces</x:t>
        </x:is>
      </x:c>
      <x:c r="D9" s="4" t="inlineStr">
        <x:is>
          <x:t xml:space="preserve">avoid if incompatible with finish</x:t>
        </x:is>
      </x:c>
      <x:c r="E9" s="4" t="inlineStr">
        <x:is>
          <x:t xml:space="preserve">use only as directed</x:t>
        </x:is>
      </x:c>
    </x:row>
    <x:row r="10">
      <x:c r="A10" s="4" t="inlineStr">
        <x:is>
          <x:t xml:space="preserve">Discard and replace</x:t>
        </x:is>
      </x:c>
      <x:c r="B10" s="4" t="inlineStr">
        <x:is>
          <x:t xml:space="preserve">saturated porous materials</x:t>
        </x:is>
      </x:c>
      <x:c r="C10" s="4" t="inlineStr">
        <x:is>
          <x:t xml:space="preserve">drywall, insulation, carpet pad</x:t>
        </x:is>
      </x:c>
      <x:c r="D10" s="4" t="inlineStr">
        <x:is>
          <x:t xml:space="preserve">not applicable</x:t>
        </x:is>
      </x:c>
      <x:c r="E10" s="4" t="inlineStr">
        <x:is>
          <x:t xml:space="preserve">best practice for persistent colonization</x:t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56a18f06adf04b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0" customWidth="1"/>
    <x:col min="3" max="3" width="40" customWidth="1"/>
  </x:cols>
  <x:sheetData>
    <x:row r="1" ht="22" customHeight="1">
      <x:c r="A1" s="25" t="inlineStr">
        <x:is>
          <x:t xml:space="preserve">field_name</x:t>
        </x:is>
      </x:c>
    </x:row>
    <x:row r="2" ht="22" customHeight="1">
      <x:c r="A2" s="30" t="inlineStr">
        <x:is>
          <x:t xml:space="preserve">species_name</x:t>
        </x:is>
      </x:c>
    </x:row>
    <x:row r="3">
      <x:c r="A3" s="4" t="inlineStr">
        <x:is>
          <x:t xml:space="preserve">genus</x:t>
        </x:is>
      </x:c>
      <x:c r="B3" s="4" t="inlineStr">
        <x:is>
          <x:t xml:space="preserve">Genus portion of the scientific name</x:t>
        </x:is>
      </x:c>
      <x:c r="C3" s="4" t="inlineStr">
        <x:is>
          <x:t xml:space="preserve">Aspergillus</x:t>
        </x:is>
      </x:c>
    </x:row>
    <x:row r="4" ht="22" customHeight="1">
      <x:c r="A4" s="4" t="inlineStr">
        <x:is>
          <x:t xml:space="preserve">common_category</x:t>
        </x:is>
      </x:c>
      <x:c r="B4" s="4" t="inlineStr">
        <x:is>
          <x:t xml:space="preserve">Broad indoor relevance grouping</x:t>
        </x:is>
      </x:c>
      <x:c r="C4" s="4" t="inlineStr">
        <x:is>
          <x:t xml:space="preserve">Water damage mold</x:t>
        </x:is>
      </x:c>
    </x:row>
    <x:row r="5">
      <x:c r="A5" s="4" t="inlineStr">
        <x:is>
          <x:t xml:space="preserve">primary_color</x:t>
        </x:is>
      </x:c>
      <x:c r="B5" s="4" t="inlineStr">
        <x:is>
          <x:t xml:space="preserve">Typical dominant colony color observed visually</x:t>
        </x:is>
      </x:c>
      <x:c r="C5" s="4" t="inlineStr">
        <x:is>
          <x:t xml:space="preserve">dark green</x:t>
        </x:is>
      </x:c>
    </x:row>
    <x:row r="6">
      <x:c r="A6" s="4" t="inlineStr">
        <x:is>
          <x:t xml:space="preserve">secondary_color</x:t>
        </x:is>
      </x:c>
      <x:c r="B6" s="4" t="inlineStr">
        <x:is>
          <x:t xml:space="preserve">Secondary or maturing color</x:t>
        </x:is>
      </x:c>
      <x:c r="C6" s="4" t="inlineStr">
        <x:is>
          <x:t xml:space="preserve">black</x:t>
        </x:is>
      </x:c>
    </x:row>
    <x:row r="7">
      <x:c r="A7" s="4" t="inlineStr">
        <x:is>
          <x:t xml:space="preserve">texture</x:t>
        </x:is>
      </x:c>
      <x:c r="B7" s="4" t="inlineStr">
        <x:is>
          <x:t xml:space="preserve">Surface look such as powdery, velvety, slimy, cottony</x:t>
        </x:is>
      </x:c>
      <x:c r="C7" s="4" t="inlineStr">
        <x:is>
          <x:t xml:space="preserve">powdery</x:t>
        </x:is>
      </x:c>
    </x:row>
    <x:row r="8">
      <x:c r="A8" s="4" t="inlineStr">
        <x:is>
          <x:t xml:space="preserve">growth_pattern</x:t>
        </x:is>
      </x:c>
      <x:c r="B8" s="4" t="inlineStr">
        <x:is>
          <x:t xml:space="preserve">Typical macro colony form or spread pattern</x:t>
        </x:is>
      </x:c>
      <x:c r="C8" s="4" t="inlineStr">
        <x:is>
          <x:t xml:space="preserve">patchy</x:t>
        </x:is>
      </x:c>
    </x:row>
    <x:row r="9">
      <x:c r="A9" s="4" t="inlineStr">
        <x:is>
          <x:t xml:space="preserve">common_materials</x:t>
        </x:is>
      </x:c>
      <x:c r="B9" s="4" t="inlineStr">
        <x:is>
          <x:t xml:space="preserve">Materials where growth is commonly observed</x:t>
        </x:is>
      </x:c>
      <x:c r="C9" s="4" t="inlineStr">
        <x:is>
          <x:t xml:space="preserve">drywall, wallpaper, cellulose</x:t>
        </x:is>
      </x:c>
    </x:row>
    <x:row r="10">
      <x:c r="A10" s="4" t="inlineStr">
        <x:is>
          <x:t xml:space="preserve">common_locations</x:t>
        </x:is>
      </x:c>
      <x:c r="B10" s="4" t="inlineStr">
        <x:is>
          <x:t xml:space="preserve">Typical indoor locations</x:t>
        </x:is>
      </x:c>
      <x:c r="C10" s="4" t="inlineStr">
        <x:is>
          <x:t xml:space="preserve">water damaged walls</x:t>
        </x:is>
      </x:c>
    </x:row>
    <x:row r="11">
      <x:c r="A11" s="4" t="inlineStr">
        <x:is>
          <x:t xml:space="preserve">moisture_requirement</x:t>
        </x:is>
      </x:c>
      <x:c r="B11" s="4" t="inlineStr">
        <x:is>
          <x:t xml:space="preserve">Low, low-to-moderate, moderate, moderate-to-high, or high moisture need</x:t>
        </x:is>
      </x:c>
      <x:c r="C11" s="4" t="inlineStr">
        <x:is>
          <x:t xml:space="preserve">high</x:t>
        </x:is>
      </x:c>
    </x:row>
    <x:row r="12">
      <x:c r="A12" s="4" t="inlineStr">
        <x:is>
          <x:t xml:space="preserve">humidity_threshold_percent</x:t>
        </x:is>
      </x:c>
      <x:c r="B12" s="4" t="inlineStr">
        <x:is>
          <x:t xml:space="preserve">Rule-of-thumb RH threshold</x:t>
        </x:is>
      </x:c>
      <x:c r="C12" s="4" t="inlineStr">
        <x:is>
          <x:t xml:space="preserve">70+</x:t>
        </x:is>
      </x:c>
    </x:row>
    <x:row r="13">
      <x:c r="A13" s="4" t="inlineStr">
        <x:is>
          <x:t xml:space="preserve">temperature_range_c</x:t>
        </x:is>
      </x:c>
      <x:c r="B13" s="4" t="inlineStr">
        <x:is>
          <x:t xml:space="preserve">Typical growth temperature range in Celsius</x:t>
        </x:is>
      </x:c>
      <x:c r="C13" s="4" t="inlineStr">
        <x:is>
          <x:t xml:space="preserve">20-30</x:t>
        </x:is>
      </x:c>
    </x:row>
    <x:row r="14">
      <x:c r="A14" s="4" t="inlineStr">
        <x:is>
          <x:t xml:space="preserve">porous_surface_growth</x:t>
        </x:is>
      </x:c>
      <x:c r="B14" s="4" t="inlineStr">
        <x:is>
          <x:t xml:space="preserve">Whether colonization is common on porous materials</x:t>
        </x:is>
      </x:c>
      <x:c r="C14" s="4" t="inlineStr">
        <x:is>
          <x:t xml:space="preserve">yes</x:t>
        </x:is>
      </x:c>
    </x:row>
    <x:row r="15">
      <x:c r="A15" s="4" t="inlineStr">
        <x:is>
          <x:t xml:space="preserve">non_porous_surface_growth</x:t>
        </x:is>
      </x:c>
      <x:c r="B15" s="4" t="inlineStr">
        <x:is>
          <x:t xml:space="preserve">Whether growth can occur on dirty hard surfaces</x:t>
        </x:is>
      </x:c>
      <x:c r="C15" s="4" t="inlineStr">
        <x:is>
          <x:t xml:space="preserve">possible via dust</x:t>
        </x:is>
      </x:c>
    </x:row>
    <x:row r="16">
      <x:c r="A16" s="4" t="inlineStr">
        <x:is>
          <x:t xml:space="preserve">health_risk_category</x:t>
        </x:is>
      </x:c>
      <x:c r="B16" s="4" t="inlineStr">
        <x:is>
          <x:t xml:space="preserve">Practical indoor risk flag, not medical advice</x:t>
        </x:is>
      </x:c>
      <x:c r="C16" s="4" t="inlineStr">
        <x:is>
          <x:t xml:space="preserve">moderate</x:t>
        </x:is>
      </x:c>
    </x:row>
    <x:row r="17">
      <x:c r="A17" s="4" t="inlineStr">
        <x:is>
          <x:t xml:space="preserve">known_mycotoxin_producer</x:t>
        </x:is>
      </x:c>
      <x:c r="B17" s="4" t="inlineStr">
        <x:is>
          <x:t xml:space="preserve">Whether toxin production is reported for some strains</x:t>
        </x:is>
      </x:c>
      <x:c r="C17" s="4" t="inlineStr">
        <x:is>
          <x:t xml:space="preserve">some strains</x:t>
        </x:is>
      </x:c>
    </x:row>
    <x:row r="18">
      <x:c r="A18" s="4" t="inlineStr">
        <x:is>
          <x:t xml:space="preserve">remediation_guidance</x:t>
        </x:is>
      </x:c>
      <x:c r="B18" s="4" t="inlineStr">
        <x:is>
          <x:t xml:space="preserve">Simplified cleanup/removal guidance</x:t>
        </x:is>
      </x:c>
      <x:c r="C18" s="4" t="inlineStr">
        <x:is>
          <x:t xml:space="preserve">remove porous materials; correct moisture</x:t>
        </x:is>
      </x:c>
    </x:row>
    <x:row r="19">
      <x:c r="A19" s="4" t="inlineStr">
        <x:is>
          <x:t xml:space="preserve">ai_visual_tags</x:t>
        </x:is>
      </x:c>
      <x:c r="B19" s="4" t="inlineStr">
        <x:is>
          <x:t xml:space="preserve">Training tags for computer vision labeling</x:t>
        </x:is>
      </x:c>
      <x:c r="C19" s="4" t="inlineStr">
        <x:is>
          <x:t xml:space="preserve">black_colony, slimy_texture</x:t>
        </x:is>
      </x:c>
    </x:row>
    <x:row r="20">
      <x:c r="A20" s="4" t="inlineStr">
        <x:is>
          <x:t xml:space="preserve">background_spore_presence</x:t>
        </x:is>
      </x:c>
      <x:c r="B20" s="4" t="inlineStr">
        <x:is>
          <x:t xml:space="preserve">Conceptual rule: a normal indoor environment still contains some mold spores.</x:t>
        </x:is>
      </x:c>
      <x:c r="C20" s="4" t="inlineStr">
        <x:is>
          <x:t xml:space="preserve">normal background spores</x:t>
        </x:is>
      </x:c>
    </x:row>
    <x:row r="21">
      <x:c r="A21" s="4" t="inlineStr">
        <x:is>
          <x:t xml:space="preserve">elevated_indoor_spore_level</x:t>
        </x:is>
      </x:c>
      <x:c r="B21" s="4" t="inlineStr">
        <x:is>
          <x:t xml:space="preserve">Indoor spore level meaningfully above comparison/background levels.</x:t>
        </x:is>
      </x:c>
      <x:c r="C21" s="4" t="inlineStr">
        <x:is>
          <x:t xml:space="preserve">indoor amplification</x:t>
        </x:is>
      </x:c>
    </x:row>
    <x:row r="22">
      <x:c r="A22" s="4" t="inlineStr">
        <x:is>
          <x:t xml:space="preserve">active_colony_growth</x:t>
        </x:is>
      </x:c>
      <x:c r="B22" s="4" t="inlineStr">
        <x:is>
          <x:t xml:space="preserve">Visible mold growth on a substrate, especially with moisture context.</x:t>
        </x:is>
      </x:c>
      <x:c r="C22" s="4" t="inlineStr">
        <x:is>
          <x:t xml:space="preserve">patchy colony on wet drywall</x:t>
        </x:is>
      </x:c>
    </x:row>
    <x:row r="23">
      <x:c r="A23" s="4" t="inlineStr">
        <x:is>
          <x:t xml:space="preserve">porous_vs_non_porous_logic</x:t>
        </x:is>
      </x:c>
      <x:c r="B23" s="4" t="inlineStr">
        <x:is>
          <x:t xml:space="preserve">Guidance that mold commonly colonizes porous materials; on hard surfaces it often grows on residue.</x:t>
        </x:is>
      </x:c>
      <x:c r="C23" s="4" t="inlineStr">
        <x:is>
          <x:t xml:space="preserve">tile with soap film</x:t>
        </x:is>
      </x:c>
    </x:row>
    <x:row r="24"/>
    <x:row r="25">
      <x:c r="A25" s="10" t="inlineStr">
        <x:is>
          <x:t xml:space="preserve">New v4 sheets</x:t>
        </x:is>
      </x:c>
    </x:row>
    <x:row r="26">
      <x:c r="A26" s="4" t="inlineStr">
        <x:is>
          <x:t xml:space="preserve">AI Decision Tree</x:t>
        </x:is>
      </x:c>
      <x:c r="B26" s="4" t="inlineStr">
        <x:is>
          <x:t xml:space="preserve">Decision path guiding app outputs from screening through escalation</x:t>
        </x:is>
      </x:c>
      <x:c r="C26" s="4" t="inlineStr">
        <x:is>
          <x:t xml:space="preserve">Moisture -&gt; colony texture -&gt; substrate -&gt; output class</x:t>
        </x:is>
      </x:c>
    </x:row>
    <x:row r="27">
      <x:c r="A27" s="4" t="inlineStr">
        <x:is>
          <x:t xml:space="preserve">Risk Scoring Model</x:t>
        </x:is>
      </x:c>
      <x:c r="B27" s="4" t="inlineStr">
        <x:is>
          <x:t xml:space="preserve">Weighted scoring framework that converts visual/context clues into a normalized risk band</x:t>
        </x:is>
      </x:c>
      <x:c r="C27" s="4" t="inlineStr">
        <x:is>
          <x:t xml:space="preserve">Visible moisture score 4, porous substrate score 5</x:t>
        </x:is>
      </x:c>
    </x:row>
    <x:row r="28">
      <x:c r="A28" s="4" t="inlineStr">
        <x:is>
          <x:t xml:space="preserve">Inspection Language</x:t>
        </x:is>
      </x:c>
      <x:c r="B28" s="4" t="inlineStr">
        <x:is>
          <x:t xml:space="preserve">Audience-specific wording library for homeowners vs professionals</x:t>
        </x:is>
      </x:c>
      <x:c r="C28" s="4" t="inlineStr">
        <x:is>
          <x:t xml:space="preserve">Homeowner: cautious education; Professional: report-ready framing</x:t>
        </x:is>
      </x:c>
    </x:row>
    <x:row r="29"/>
    <x:row r="30">
      <x:c r="A30" s="10" t="inlineStr">
        <x:is>
          <x:t xml:space="preserve">New v5 sheets</x:t>
        </x:is>
      </x:c>
    </x:row>
    <x:row r="31">
      <x:c r="A31" s="4" t="inlineStr">
        <x:is>
          <x:t xml:space="preserve">Moisture Source Classification</x:t>
        </x:is>
      </x:c>
      <x:c r="B31" s="4" t="inlineStr">
        <x:is>
          <x:t xml:space="preserve">Reference table linking visible patterns to likely moisture causes and follow-up steps</x:t>
        </x:is>
      </x:c>
      <x:c r="C31" s="4" t="inlineStr">
        <x:is>
          <x:t xml:space="preserve">Use to infer plumbing vs roof vs HVAC vs condensation vs crawlspace</x:t>
        </x:is>
      </x:c>
    </x:row>
    <x:row r="32">
      <x:c r="A32" s="4" t="inlineStr">
        <x:is>
          <x:t xml:space="preserve">Room Inspection Logic</x:t>
        </x:is>
      </x:c>
      <x:c r="B32" s="4" t="inlineStr">
        <x:is>
          <x:t xml:space="preserve">Room-specific inspection priorities, false positives, and next-step guidance</x:t>
        </x:is>
      </x:c>
      <x:c r="C32" s="4" t="inlineStr">
        <x:is>
          <x:t xml:space="preserve">Bathroom spotting and attic staining require different logic</x:t>
        </x:is>
      </x:c>
    </x:row>
    <x:row r="33">
      <x:c r="A33" s="4" t="inlineStr">
        <x:is>
          <x:t xml:space="preserve">Remediation Framework</x:t>
        </x:is>
      </x:c>
      <x:c r="B33" s="4" t="inlineStr">
        <x:is>
          <x:t xml:space="preserve">Monitor/clean/inspect/escalate pathways based on severity, substrate, and recurrence</x:t>
        </x:is>
      </x:c>
      <x:c r="C33" s="4" t="inlineStr">
        <x:is>
          <x:t xml:space="preserve">Supports app workflow and messaging</x:t>
        </x:is>
      </x:c>
    </x:row>
    <x:row r="34">
      <x:c r="A34" s="4" t="inlineStr">
        <x:is>
          <x:t xml:space="preserve">Image Label Taxonomy</x:t>
        </x:is>
      </x:c>
      <x:c r="B34" s="4" t="inlineStr">
        <x:is>
          <x:t xml:space="preserve">Controlled labels for training image annotations and downstream AI outputs</x:t>
        </x:is>
      </x:c>
      <x:c r="C34" s="4" t="inlineStr">
        <x:is>
          <x:t xml:space="preserve">Creates consistent annotation fields for computer vision</x:t>
        </x:is>
      </x:c>
    </x:row>
    <x:row r="35">
      <x:c r="A35" s="4" t="inlineStr">
        <x:is>
          <x:t xml:space="preserve">Training Annotation Template</x:t>
        </x:is>
      </x:c>
      <x:c r="B35" s="4" t="inlineStr">
        <x:is>
          <x:t xml:space="preserve">Example row structure with helper formulas for data-labeling workflows</x:t>
        </x:is>
      </x:c>
      <x:c r="C35" s="4" t="inlineStr">
        <x:is>
          <x:t xml:space="preserve">Can be handed to annotators or developers as a starter schema</x:t>
        </x:is>
      </x:c>
    </x:row>
    <x:row r="36">
      <x:c r="A36" s="4" t="inlineStr">
        <x:is>
          <x:t xml:space="preserve">Lab Interpretation Rules</x:t>
        </x:is>
      </x:c>
      <x:c r="B36" s="4" t="inlineStr">
        <x:is>
          <x:t xml:space="preserve">Condenses lab-report logic for air cassettes, background density, direct ID interpretation, and AI-safe cautions</x:t>
        </x:is>
      </x:c>
      <x:c r="C36" s="4" t="inlineStr">
        <x:is>
          <x:t xml:space="preserve">Supports scoring and user messaging</x:t>
        </x:is>
      </x:c>
    </x:row>
    <x:row r="37">
      <x:c r="A37" s="4" t="inlineStr">
        <x:is>
          <x:t xml:space="preserve">Lab Sample Examples</x:t>
        </x:is>
      </x:c>
      <x:c r="B37" s="4" t="inlineStr">
        <x:is>
          <x:t xml:space="preserve">Example air and direct-ID results structured as rows for training or QA</x:t>
        </x:is>
      </x:c>
      <x:c r="C37" s="4" t="inlineStr">
        <x:is>
          <x:t xml:space="preserve">Exterior baseline vs interior comparison and direct-ID abundance examples</x:t>
        </x:is>
      </x:c>
    </x:row>
    <x:row r="38"/>
    <x:row r="39">
      <x:c r="A39" t="inlineStr">
        <x:is>
          <x:t xml:space="preserve">scenario_id</x:t>
        </x:is>
      </x:c>
      <x:c r="B39" t="inlineStr">
        <x:is>
          <x:t xml:space="preserve">Unique scenario key used to test scoring engine and output logic.</x:t>
        </x:is>
      </x:c>
      <x:c r="C39" t="inlineStr">
        <x:is>
          <x:t xml:space="preserve">SCN-001</x:t>
        </x:is>
      </x:c>
    </x:row>
    <x:row r="40">
      <x:c r="A40" t="inlineStr">
        <x:is>
          <x:t xml:space="preserve">indoor_outdoor_ratio</x:t>
        </x:is>
      </x:c>
      <x:c r="B40" t="inlineStr">
        <x:is>
          <x:t xml:space="preserve">Indoor spores/m3 divided by outdoor spores/m3 for the same or nearest comparable group.</x:t>
        </x:is>
      </x:c>
      <x:c r="C40" t="inlineStr">
        <x:is>
          <x:t xml:space="preserve">1.9x</x:t>
        </x:is>
      </x:c>
    </x:row>
    <x:row r="41">
      <x:c r="A41" t="inlineStr">
        <x:is>
          <x:t xml:space="preserve">risk_band</x:t>
        </x:is>
      </x:c>
      <x:c r="B41" t="inlineStr">
        <x:is>
          <x:t xml:space="preserve">Human-readable bucket produced by scoring engine.</x:t>
        </x:is>
      </x:c>
      <x:c r="C41" t="inlineStr">
        <x:is>
          <x:t xml:space="preserve">Elevated</x:t>
        </x:is>
      </x:c>
    </x:row>
    <x:row r="42">
      <x:c r="A42" t="inlineStr">
        <x:is>
          <x:t xml:space="preserve">recommended_action</x:t>
        </x:is>
      </x:c>
      <x:c r="B42" t="inlineStr">
        <x:is>
          <x:t xml:space="preserve">Suggested next step based on score and rule checks.</x:t>
        </x:is>
      </x:c>
      <x:c r="C42" t="inlineStr">
        <x:is>
          <x:t xml:space="preserve">Professional inspection</x:t>
        </x:is>
      </x:c>
    </x:row>
    <x:row r="43">
      <x:c r="A43" t="inlineStr">
        <x:is>
          <x:t xml:space="preserve">visual_group</x:t>
        </x:is>
      </x:c>
      <x:c r="B43" t="inlineStr">
        <x:is>
          <x:t xml:space="preserve">Grouped AI-safe label when species-level precision is not justified visually.</x:t>
        </x:is>
      </x:c>
      <x:c r="C43" t="inlineStr">
        <x:is>
          <x:t xml:space="preserve">Aspergillus/Penicillium</x:t>
        </x:is>
      </x:c>
    </x:row>
    <x:row r="44">
      <x:c r="A44" t="inlineStr">
        <x:is>
          <x:t xml:space="preserve">water_damage_indicator</x:t>
        </x:is>
      </x:c>
      <x:c r="B44" t="inlineStr">
        <x:is>
          <x:t xml:space="preserve">Relative value describing how strongly a mold suggests chronic moisture or wet cellulose.</x:t>
        </x:is>
      </x:c>
      <x:c r="C44" t="inlineStr">
        <x:is>
          <x:t xml:space="preserve">High</x:t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49e15092eab64c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62" customWidth="1"/>
    <x:col min="4" max="4" width="40" customWidth="1"/>
  </x:cols>
  <x:sheetData>
    <x:row r="1" ht="22" customHeight="1">
      <x:c r="A1" s="1" t="inlineStr">
        <x:is>
          <x:t xml:space="preserve">Core Mold Logic for Home Health AI / Inspector Gnome</x:t>
        </x:is>
      </x:c>
    </x:row>
    <x:row r="2" ht="22" customHeight="1">
      <x:c r="A2" s="2" t="inlineStr">
        <x:is>
          <x:t xml:space="preserve">Important principle: all homes have some mold spores. Concern increases when indoor spore levels are elevated versus normal background and/or when active colonies are growing.</x:t>
        </x:is>
      </x:c>
    </x:row>
    <x:row r="3"/>
    <x:row r="4" ht="22" customHeight="1">
      <x:c r="A4" s="7" t="inlineStr">
        <x:is>
          <x:t xml:space="preserve">rule_id</x:t>
        </x:is>
      </x:c>
      <x:c r="B4" s="7" t="inlineStr">
        <x:is>
          <x:t xml:space="preserve">rule_name</x:t>
        </x:is>
      </x:c>
      <x:c r="C4" s="7" t="inlineStr">
        <x:is>
          <x:t xml:space="preserve">logic_statement</x:t>
        </x:is>
      </x:c>
      <x:c r="D4" s="7" t="inlineStr">
        <x:is>
          <x:t xml:space="preserve">why_it_matters</x:t>
        </x:is>
      </x:c>
    </x:row>
    <x:row r="5">
      <x:c r="A5" s="4" t="inlineStr">
        <x:is>
          <x:t xml:space="preserve">ML-01</x:t>
        </x:is>
      </x:c>
      <x:c r="B5" s="4" t="inlineStr">
        <x:is>
          <x:t xml:space="preserve">Background spores are normal</x:t>
        </x:is>
      </x:c>
      <x:c r="C5" s="4" t="inlineStr">
        <x:is>
          <x:t xml:space="preserve">All homes and buildings contain background mold spores. Spore presence alone does not equal contamination.</x:t>
        </x:is>
      </x:c>
      <x:c r="D5" s="4" t="inlineStr">
        <x:is>
          <x:t xml:space="preserve">Prevents false alarms from normal background ecology.</x:t>
        </x:is>
      </x:c>
    </x:row>
    <x:row r="6">
      <x:c r="A6" s="4" t="inlineStr">
        <x:is>
          <x:t xml:space="preserve">ML-02</x:t>
        </x:is>
      </x:c>
      <x:c r="B6" s="4" t="inlineStr">
        <x:is>
          <x:t xml:space="preserve">Elevated spores matter</x:t>
        </x:is>
      </x:c>
      <x:c r="C6" s="4" t="inlineStr">
        <x:is>
          <x:t xml:space="preserve">The concern is elevated indoor spore levels, especially when indoor air is meaningfully higher than outdoor/background comparison.</x:t>
        </x:is>
      </x:c>
      <x:c r="D6" s="4" t="inlineStr">
        <x:is>
          <x:t xml:space="preserve">Helps distinguish normal conditions from likely indoor amplification.</x:t>
        </x:is>
      </x:c>
    </x:row>
    <x:row r="7">
      <x:c r="A7" s="4" t="inlineStr">
        <x:is>
          <x:t xml:space="preserve">ML-03</x:t>
        </x:is>
      </x:c>
      <x:c r="B7" s="4" t="inlineStr">
        <x:is>
          <x:t xml:space="preserve">Active colony growth is a problem</x:t>
        </x:is>
      </x:c>
      <x:c r="C7" s="4" t="inlineStr">
        <x:is>
          <x:t xml:space="preserve">Visible mold growth or colonization is more important than simple spore presence.</x:t>
        </x:is>
      </x:c>
      <x:c r="D7" s="4" t="inlineStr">
        <x:is>
          <x:t xml:space="preserve">Colonies indicate moisture plus a growth substrate.</x:t>
        </x:is>
      </x:c>
    </x:row>
    <x:row r="8">
      <x:c r="A8" s="4" t="inlineStr">
        <x:is>
          <x:t xml:space="preserve">ML-04</x:t>
        </x:is>
      </x:c>
      <x:c r="B8" s="4" t="inlineStr">
        <x:is>
          <x:t xml:space="preserve">Moisture drives amplification</x:t>
        </x:is>
      </x:c>
      <x:c r="C8" s="4" t="inlineStr">
        <x:is>
          <x:t xml:space="preserve">Mold problems require moisture, a food source, and time.</x:t>
        </x:is>
      </x:c>
      <x:c r="D8" s="4" t="inlineStr">
        <x:is>
          <x:t xml:space="preserve">Focuses the AI on leaks, condensation, and chronic dampness.</x:t>
        </x:is>
      </x:c>
    </x:row>
    <x:row r="9">
      <x:c r="A9" s="4" t="inlineStr">
        <x:is>
          <x:t xml:space="preserve">ML-05</x:t>
        </x:is>
      </x:c>
      <x:c r="B9" s="4" t="inlineStr">
        <x:is>
          <x:t xml:space="preserve">Porous materials support colonization</x:t>
        </x:is>
      </x:c>
      <x:c r="C9" s="4" t="inlineStr">
        <x:is>
          <x:t xml:space="preserve">Drywall, carpet, insulation, ceiling tile, paper, and wood are common indoor growth substrates.</x:t>
        </x:is>
      </x:c>
      <x:c r="D9" s="4" t="inlineStr">
        <x:is>
          <x:t xml:space="preserve">Improves material-aware risk scoring.</x:t>
        </x:is>
      </x:c>
    </x:row>
    <x:row r="10">
      <x:c r="A10" s="4" t="inlineStr">
        <x:is>
          <x:t xml:space="preserve">ML-06</x:t>
        </x:is>
      </x:c>
      <x:c r="B10" s="4" t="inlineStr">
        <x:is>
          <x:t xml:space="preserve">Non-porous surfaces usually host residue growth</x:t>
        </x:is>
      </x:c>
      <x:c r="C10" s="4" t="inlineStr">
        <x:is>
          <x:t xml:space="preserve">When mold appears on glass, tile, metal, or plastic, it is often growing on dust, soap film, or organic residue rather than the surface itself.</x:t>
        </x:is>
      </x:c>
      <x:c r="D10" s="4" t="inlineStr">
        <x:is>
          <x:t xml:space="preserve">Improves explanation quality and cleaning guidance.</x:t>
        </x:is>
      </x:c>
    </x:row>
    <x:row r="11">
      <x:c r="A11" s="4" t="inlineStr">
        <x:is>
          <x:t xml:space="preserve">ML-07</x:t>
        </x:is>
      </x:c>
      <x:c r="B11" s="4" t="inlineStr">
        <x:is>
          <x:t xml:space="preserve">Single-species dominance can signal a source</x:t>
        </x:is>
      </x:c>
      <x:c r="C11" s="4" t="inlineStr">
        <x:is>
          <x:t xml:space="preserve">A strongly dominant indoor genus/species compared with background may indicate an indoor growth reservoir.</x:t>
        </x:is>
      </x:c>
      <x:c r="D11" s="4" t="inlineStr">
        <x:is>
          <x:t xml:space="preserve">Useful for interpretation of air-sampling patterns.</x:t>
        </x:is>
      </x:c>
    </x:row>
    <x:row r="12">
      <x:c r="A12" s="4" t="inlineStr">
        <x:is>
          <x:t xml:space="preserve">ML-08</x:t>
        </x:is>
      </x:c>
      <x:c r="B12" s="4" t="inlineStr">
        <x:is>
          <x:t xml:space="preserve">Visual evidence should be tied to moisture context</x:t>
        </x:is>
      </x:c>
      <x:c r="C12" s="4" t="inlineStr">
        <x:is>
          <x:t xml:space="preserve">Water stains, bubbling paint, fuzzy edges, and patch growth near wet zones raise confidence of active colonization.</x:t>
        </x:is>
      </x:c>
      <x:c r="D12" s="4" t="inlineStr">
        <x:is>
          <x:t xml:space="preserve">Supports early visual detection rules.</x:t>
        </x:is>
      </x:c>
    </x:row>
    <x:row r="13">
      <x:c r="A13" s="4" t="inlineStr">
        <x:is>
          <x:t xml:space="preserve">ML-09</x:t>
        </x:is>
      </x:c>
      <x:c r="B13" s="4" t="inlineStr">
        <x:is>
          <x:t xml:space="preserve">Diagnosis should be framed carefully</x:t>
        </x:is>
      </x:c>
      <x:c r="C13" s="4" t="inlineStr">
        <x:is>
          <x:t xml:space="preserve">AI should report possible active growth, elevated risk, or need for inspection—not claim medical or lab diagnosis from photos alone.</x:t>
        </x:is>
      </x:c>
      <x:c r="D13" s="4" t="inlineStr">
        <x:is>
          <x:t xml:space="preserve">Keeps output credible and safer for users.</x:t>
        </x:is>
      </x:c>
    </x:row>
    <x:row r="14">
      <x:c r="A14" s="4" t="inlineStr">
        <x:is>
          <x:t xml:space="preserve">ML-10</x:t>
        </x:is>
      </x:c>
      <x:c r="B14" s="4" t="inlineStr">
        <x:is>
          <x:t xml:space="preserve">Remediation targets source control</x:t>
        </x:is>
      </x:c>
      <x:c r="C14" s="4" t="inlineStr">
        <x:is>
          <x:t xml:space="preserve">Successful cleanup requires moisture correction, source removal, and proper cleaning—not surface treatment alone.</x:t>
        </x:is>
      </x:c>
      <x:c r="D14" s="4" t="inlineStr">
        <x:is>
          <x:t xml:space="preserve">Prevents ineffective advice.</x:t>
        </x:is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25f09828eb149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30" customWidth="1"/>
    <x:col min="3" max="3" width="24" customWidth="1"/>
    <x:col min="4" max="4" width="42" customWidth="1"/>
  </x:cols>
  <x:sheetData>
    <x:row r="1" ht="22" customHeight="1">
      <x:c r="A1" s="25" t="inlineStr">
        <x:is>
          <x:t xml:space="preserve">scenario</x:t>
        </x:is>
      </x:c>
    </x:row>
    <x:row r="2" ht="22" customHeight="1">
      <x:c r="A2" s="30" t="inlineStr">
        <x:is>
          <x:t xml:space="preserve">Normal background spores</x:t>
        </x:is>
      </x:c>
    </x:row>
    <x:row r="3">
      <x:c r="A3" s="4" t="inlineStr">
        <x:is>
          <x:t xml:space="preserve">Possible indoor amplification</x:t>
        </x:is>
      </x:c>
      <x:c r="B3" s="4" t="inlineStr">
        <x:is>
          <x:t xml:space="preserve">Aspergillus/Penicillium notably higher indoors than outdoors</x:t>
        </x:is>
      </x:c>
      <x:c r="C3" s="4" t="inlineStr">
        <x:is>
          <x:t xml:space="preserve">Lower outdoor baseline</x:t>
        </x:is>
      </x:c>
      <x:c r="D3" s="4" t="inlineStr">
        <x:is>
          <x:t xml:space="preserve">Possible indoor source; inspect HVAC, wet wall cavities, and dust reservoirs.</x:t>
        </x:is>
      </x:c>
    </x:row>
    <x:row r="4" ht="22" customHeight="1">
      <x:c r="A4" s="4" t="inlineStr">
        <x:is>
          <x:t xml:space="preserve">Visible colony on wet drywall</x:t>
        </x:is>
      </x:c>
      <x:c r="B4" s="4" t="inlineStr">
        <x:is>
          <x:t xml:space="preserve">Patchy/slimy/fuzzy colony near leak staining</x:t>
        </x:is>
      </x:c>
      <x:c r="C4" s="4" t="inlineStr">
        <x:is>
          <x:t xml:space="preserve">Outdoor comparison not needed for visual concern</x:t>
        </x:is>
      </x:c>
      <x:c r="D4" s="4" t="inlineStr">
        <x:is>
          <x:t xml:space="preserve">Active growth likely; correct moisture and remove contaminated porous material.</x:t>
        </x:is>
      </x:c>
    </x:row>
    <x:row r="5">
      <x:c r="A5" s="4" t="inlineStr">
        <x:is>
          <x:t xml:space="preserve">Growth on tile or glass</x:t>
        </x:is>
      </x:c>
      <x:c r="B5" s="4" t="inlineStr">
        <x:is>
          <x:t xml:space="preserve">Visible spots on a hard surface with soap film or dust</x:t>
        </x:is>
      </x:c>
      <x:c r="C5" s="4" t="inlineStr">
        <x:is>
          <x:t xml:space="preserve">Outdoor comparison not needed for surface explanation</x:t>
        </x:is>
      </x:c>
      <x:c r="D5" s="4" t="inlineStr">
        <x:is>
          <x:t xml:space="preserve">Likely growth on residue, not the tile/glass itself; clean residue and control moisture.</x:t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33caab62b03948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4" customWidth="1"/>
    <x:col min="3" max="3" width="30" customWidth="1"/>
    <x:col min="4" max="4" width="28" customWidth="1"/>
    <x:col min="5" max="5" width="16" customWidth="1"/>
    <x:col min="6" max="6" width="42" customWidth="1"/>
  </x:cols>
  <x:sheetData>
    <x:row r="1" ht="22" customHeight="1">
      <x:c r="A1" s="11" t="inlineStr">
        <x:is>
          <x:t xml:space="preserve">Home Health AI – AI Decision Tree</x:t>
        </x:is>
      </x:c>
    </x:row>
    <x:row r="2" ht="22" customHeight="1">
      <x:c r="A2" s="12" t="inlineStr">
        <x:is>
          <x:t xml:space="preserve">Use this logic to decide whether the app should reassure, monitor, recommend inspection, or recommend remediation language.</x:t>
        </x:is>
      </x:c>
    </x:row>
    <x:row r="3"/>
    <x:row r="4" ht="22" customHeight="1">
      <x:c r="A4" s="13" t="inlineStr">
        <x:is>
          <x:t xml:space="preserve">Step</x:t>
        </x:is>
      </x:c>
      <x:c r="B4" s="13" t="inlineStr">
        <x:is>
          <x:t xml:space="preserve">Decision Question</x:t>
        </x:is>
      </x:c>
      <x:c r="C4" s="13" t="inlineStr">
        <x:is>
          <x:t xml:space="preserve">If Yes</x:t>
        </x:is>
      </x:c>
      <x:c r="D4" s="13" t="inlineStr">
        <x:is>
          <x:t xml:space="preserve">If No</x:t>
        </x:is>
      </x:c>
      <x:c r="E4" s="13" t="inlineStr">
        <x:is>
          <x:t xml:space="preserve">AI Output Class</x:t>
        </x:is>
      </x:c>
      <x:c r="F4" s="13" t="inlineStr">
        <x:is>
          <x:t xml:space="preserve">Notes</x:t>
        </x:is>
      </x:c>
    </x:row>
    <x:row r="5">
      <x:c r="A5" s="4" t="n">
        <x:v>1</x:v>
      </x:c>
      <x:c r="B5" s="4" t="inlineStr">
        <x:is>
          <x:t xml:space="preserve">Is there a visible moisture indicator (stain, halo, sheen, bubbling, condensation)?</x:t>
        </x:is>
      </x:c>
      <x:c r="C5" s="4" t="inlineStr">
        <x:is>
          <x:t xml:space="preserve">Go to Step 2</x:t>
        </x:is>
      </x:c>
      <x:c r="D5" s="4" t="inlineStr">
        <x:is>
          <x:t xml:space="preserve">Go to Step 3</x:t>
        </x:is>
      </x:c>
      <x:c r="E5" s="4" t="inlineStr">
        <x:is>
          <x:t xml:space="preserve">Screening</x:t>
        </x:is>
      </x:c>
      <x:c r="F5" s="4" t="inlineStr">
        <x:is>
          <x:t xml:space="preserve">Moisture raises concern even before clear mold texture appears.</x:t>
        </x:is>
      </x:c>
    </x:row>
    <x:row r="6">
      <x:c r="A6" s="4" t="n">
        <x:v>2</x:v>
      </x:c>
      <x:c r="B6" s="4" t="inlineStr">
        <x:is>
          <x:t xml:space="preserve">Is there visible colony texture (fuzzy, powdery, slimy, patchy, irregular edge)?</x:t>
        </x:is>
      </x:c>
      <x:c r="C6" s="4" t="inlineStr">
        <x:is>
          <x:t xml:space="preserve">Go to Step 4</x:t>
        </x:is>
      </x:c>
      <x:c r="D6" s="4" t="inlineStr">
        <x:is>
          <x:t xml:space="preserve">Output = Moisture Concern</x:t>
        </x:is>
      </x:c>
      <x:c r="E6" s="4" t="inlineStr">
        <x:is>
          <x:t xml:space="preserve">Visual Triage</x:t>
        </x:is>
      </x:c>
      <x:c r="F6" s="4" t="inlineStr">
        <x:is>
          <x:t xml:space="preserve">Moisture without visible colony may still warrant monitoring or inspection.</x:t>
        </x:is>
      </x:c>
    </x:row>
    <x:row r="7">
      <x:c r="A7" s="4" t="n">
        <x:v>3</x:v>
      </x:c>
      <x:c r="B7" s="4" t="inlineStr">
        <x:is>
          <x:t xml:space="preserve">No obvious moisture. Is the area showing isolated light residue on a hard surface only?</x:t>
        </x:is>
      </x:c>
      <x:c r="C7" s="4" t="inlineStr">
        <x:is>
          <x:t xml:space="preserve">Output = Surface Residue / Monitor</x:t>
        </x:is>
      </x:c>
      <x:c r="D7" s="4" t="inlineStr">
        <x:is>
          <x:t xml:space="preserve">Output = Low Visual Evidence</x:t>
        </x:is>
      </x:c>
      <x:c r="E7" s="4" t="inlineStr">
        <x:is>
          <x:t xml:space="preserve">Reassure / Monitor</x:t>
        </x:is>
      </x:c>
      <x:c r="F7" s="4" t="inlineStr">
        <x:is>
          <x:t xml:space="preserve">Do not overcall contamination without moisture or growth indicators.</x:t>
        </x:is>
      </x:c>
    </x:row>
    <x:row r="8">
      <x:c r="A8" s="4" t="n">
        <x:v>4</x:v>
      </x:c>
      <x:c r="B8" s="4" t="inlineStr">
        <x:is>
          <x:t xml:space="preserve">Is the affected surface porous or cellulose-based (drywall, wood, carpet, ceiling tile, insulation)?</x:t>
        </x:is>
      </x:c>
      <x:c r="C8" s="4" t="inlineStr">
        <x:is>
          <x:t xml:space="preserve">Go to Step 5</x:t>
        </x:is>
      </x:c>
      <x:c r="D8" s="4" t="inlineStr">
        <x:is>
          <x:t xml:space="preserve">Go to Step 6</x:t>
        </x:is>
      </x:c>
      <x:c r="E8" s="4" t="inlineStr">
        <x:is>
          <x:t xml:space="preserve">Substrate Logic</x:t>
        </x:is>
      </x:c>
      <x:c r="F8" s="4" t="inlineStr">
        <x:is>
          <x:t xml:space="preserve">Active colonization is more significant on porous materials.</x:t>
        </x:is>
      </x:c>
    </x:row>
    <x:row r="9">
      <x:c r="A9" s="4" t="n">
        <x:v>5</x:v>
      </x:c>
      <x:c r="B9" s="4" t="inlineStr">
        <x:is>
          <x:t xml:space="preserve">Is the growth area larger than a small isolated spot OR recurring after cleaning?</x:t>
        </x:is>
      </x:c>
      <x:c r="C9" s="4" t="inlineStr">
        <x:is>
          <x:t xml:space="preserve">Output = Elevated Concern</x:t>
        </x:is>
      </x:c>
      <x:c r="D9" s="4" t="inlineStr">
        <x:is>
          <x:t xml:space="preserve">Go to Step 7</x:t>
        </x:is>
      </x:c>
      <x:c r="E9" s="4" t="inlineStr">
        <x:is>
          <x:t xml:space="preserve">Escalation</x:t>
        </x:is>
      </x:c>
      <x:c r="F9" s="4" t="inlineStr">
        <x:is>
          <x:t xml:space="preserve">Recurring growth suggests ongoing moisture or hidden amplification.</x:t>
        </x:is>
      </x:c>
    </x:row>
    <x:row r="10">
      <x:c r="A10" s="4" t="n">
        <x:v>6</x:v>
      </x:c>
      <x:c r="B10" s="4" t="inlineStr">
        <x:is>
          <x:t xml:space="preserve">On hard surface only: is dust, soap film, or organic residue likely present?</x:t>
        </x:is>
      </x:c>
      <x:c r="C10" s="4" t="inlineStr">
        <x:is>
          <x:t xml:space="preserve">Output = Residue-Supported Growth</x:t>
        </x:is>
      </x:c>
      <x:c r="D10" s="4" t="inlineStr">
        <x:is>
          <x:t xml:space="preserve">Output = Needs Human Review</x:t>
        </x:is>
      </x:c>
      <x:c r="E10" s="4" t="inlineStr">
        <x:is>
          <x:t xml:space="preserve">Surface Interpretation</x:t>
        </x:is>
      </x:c>
      <x:c r="F10" s="4" t="inlineStr">
        <x:is>
          <x:t xml:space="preserve">Mold may be feeding on residue, not the non-porous substrate itself.</x:t>
        </x:is>
      </x:c>
    </x:row>
    <x:row r="11">
      <x:c r="A11" s="4" t="n">
        <x:v>7</x:v>
      </x:c>
      <x:c r="B11" s="4" t="inlineStr">
        <x:is>
          <x:t xml:space="preserve">Are there multiple indicators together (moisture + colony + odor + recurring issue + occupant complaint)?</x:t>
        </x:is>
      </x:c>
      <x:c r="C11" s="4" t="inlineStr">
        <x:is>
          <x:t xml:space="preserve">Output = High Concern</x:t>
        </x:is>
      </x:c>
      <x:c r="D11" s="4" t="inlineStr">
        <x:is>
          <x:t xml:space="preserve">Output = Moderate Concern</x:t>
        </x:is>
      </x:c>
      <x:c r="E11" s="4" t="inlineStr">
        <x:is>
          <x:t xml:space="preserve">Risk Band</x:t>
        </x:is>
      </x:c>
      <x:c r="F11" s="4" t="inlineStr">
        <x:is>
          <x:t xml:space="preserve">Combined indicators should raise the model’s confidence and recommendation strength.</x:t>
        </x:is>
      </x:c>
    </x:row>
    <x:row r="12"/>
    <x:row r="13"/>
    <x:row r="14">
      <x:c r="A14" s="14" t="inlineStr">
        <x:is>
          <x:t xml:space="preserve">Output Class</x:t>
        </x:is>
      </x:c>
      <x:c r="B14" s="14" t="inlineStr">
        <x:is>
          <x:t xml:space="preserve">Recommended App Response</x:t>
        </x:is>
      </x:c>
      <x:c r="C14" s="14" t="inlineStr">
        <x:is>
          <x:t xml:space="preserve">Confidence Direction</x:t>
        </x:is>
      </x:c>
      <x:c r="D14" s="14" t="inlineStr">
        <x:is>
          <x:t xml:space="preserve">Suggested CTA</x:t>
        </x:is>
      </x:c>
    </x:row>
    <x:row r="15">
      <x:c r="A15" s="4" t="inlineStr">
        <x:is>
          <x:t xml:space="preserve">Low Visual Evidence</x:t>
        </x:is>
      </x:c>
      <x:c r="B15" s="4" t="inlineStr">
        <x:is>
          <x:t xml:space="preserve">No clear visual signs of active growth. Encourage moisture prevention and re-check if changes occur.</x:t>
        </x:is>
      </x:c>
      <x:c r="C15" s="4" t="inlineStr">
        <x:is>
          <x:t xml:space="preserve">Low</x:t>
        </x:is>
      </x:c>
      <x:c r="D15" s="4" t="inlineStr">
        <x:is>
          <x:t xml:space="preserve">Monitor and retake photos if area changes</x:t>
        </x:is>
      </x:c>
    </x:row>
    <x:row r="16">
      <x:c r="A16" s="4" t="inlineStr">
        <x:is>
          <x:t xml:space="preserve">Surface Residue / Monitor</x:t>
        </x:is>
      </x:c>
      <x:c r="B16" s="4" t="inlineStr">
        <x:is>
          <x:t xml:space="preserve">Visible spotting may reflect residue or surface contamination rather than active colonization.</x:t>
        </x:is>
      </x:c>
      <x:c r="C16" s="4" t="inlineStr">
        <x:is>
          <x:t xml:space="preserve">Low–Moderate</x:t>
        </x:is>
      </x:c>
      <x:c r="D16" s="4" t="inlineStr">
        <x:is>
          <x:t xml:space="preserve">Clean residue, reduce humidity, observe recurrence</x:t>
        </x:is>
      </x:c>
    </x:row>
    <x:row r="17">
      <x:c r="A17" s="4" t="inlineStr">
        <x:is>
          <x:t xml:space="preserve">Moisture Concern</x:t>
        </x:is>
      </x:c>
      <x:c r="B17" s="4" t="inlineStr">
        <x:is>
          <x:t xml:space="preserve">Visible moisture conditions can support future growth even if a colony is not clearly visible yet.</x:t>
        </x:is>
      </x:c>
      <x:c r="C17" s="4" t="inlineStr">
        <x:is>
          <x:t xml:space="preserve">Moderate</x:t>
        </x:is>
      </x:c>
      <x:c r="D17" s="4" t="inlineStr">
        <x:is>
          <x:t xml:space="preserve">Inspect leak or condensation source</x:t>
        </x:is>
      </x:c>
    </x:row>
    <x:row r="18">
      <x:c r="A18" s="4" t="inlineStr">
        <x:is>
          <x:t xml:space="preserve">Residue-Supported Growth</x:t>
        </x:is>
      </x:c>
      <x:c r="B18" s="4" t="inlineStr">
        <x:is>
          <x:t xml:space="preserve">Visible growth may be occurring on dust, soap film, or organic buildup on a hard surface.</x:t>
        </x:is>
      </x:c>
      <x:c r="C18" s="4" t="inlineStr">
        <x:is>
          <x:t xml:space="preserve">Moderate</x:t>
        </x:is>
      </x:c>
      <x:c r="D18" s="4" t="inlineStr">
        <x:is>
          <x:t xml:space="preserve">Clean residue thoroughly and control moisture</x:t>
        </x:is>
      </x:c>
    </x:row>
    <x:row r="19">
      <x:c r="A19" s="4" t="inlineStr">
        <x:is>
          <x:t xml:space="preserve">Moderate Concern</x:t>
        </x:is>
      </x:c>
      <x:c r="B19" s="4" t="inlineStr">
        <x:is>
          <x:t xml:space="preserve">Visible patterns are consistent with possible active growth and warrant closer inspection.</x:t>
        </x:is>
      </x:c>
      <x:c r="C19" s="4" t="inlineStr">
        <x:is>
          <x:t xml:space="preserve">Moderate–High</x:t>
        </x:is>
      </x:c>
      <x:c r="D19" s="4" t="inlineStr">
        <x:is>
          <x:t xml:space="preserve">Schedule targeted inspection</x:t>
        </x:is>
      </x:c>
    </x:row>
    <x:row r="20">
      <x:c r="A20" s="4" t="inlineStr">
        <x:is>
          <x:t xml:space="preserve">Elevated Concern</x:t>
        </x:is>
      </x:c>
      <x:c r="B20" s="4" t="inlineStr">
        <x:is>
          <x:t xml:space="preserve">Patterns suggest likely active growth associated with moisture and a favorable substrate.</x:t>
        </x:is>
      </x:c>
      <x:c r="C20" s="4" t="inlineStr">
        <x:is>
          <x:t xml:space="preserve">High</x:t>
        </x:is>
      </x:c>
      <x:c r="D20" s="4" t="inlineStr">
        <x:is>
          <x:t xml:space="preserve">Inspect promptly; consider limited containment precautions</x:t>
        </x:is>
      </x:c>
    </x:row>
    <x:row r="21">
      <x:c r="A21" s="4" t="inlineStr">
        <x:is>
          <x:t xml:space="preserve">High Concern</x:t>
        </x:is>
      </x:c>
      <x:c r="B21" s="4" t="inlineStr">
        <x:is>
          <x:t xml:space="preserve">Multiple indicators strongly suggest active indoor amplification and/or ongoing colony growth.</x:t>
        </x:is>
      </x:c>
      <x:c r="C21" s="4" t="inlineStr">
        <x:is>
          <x:t xml:space="preserve">High</x:t>
        </x:is>
      </x:c>
      <x:c r="D21" s="4" t="inlineStr">
        <x:is>
          <x:t xml:space="preserve">Professional inspection and moisture correction recommended</x:t>
        </x:is>
      </x:c>
    </x:row>
    <x:row r="22">
      <x:c r="A22" s="4" t="inlineStr">
        <x:is>
          <x:t xml:space="preserve">Needs Human Review</x:t>
        </x:is>
      </x:c>
      <x:c r="B22" s="4" t="inlineStr">
        <x:is>
          <x:t xml:space="preserve">Image evidence is mixed or insufficient for a reliable classification.</x:t>
        </x:is>
      </x:c>
      <x:c r="C22" s="4" t="inlineStr">
        <x:is>
          <x:t xml:space="preserve">Variable</x:t>
        </x:is>
      </x:c>
      <x:c r="D22" s="4" t="inlineStr">
        <x:is>
          <x:t xml:space="preserve">Collect more images / in-person review</x:t>
        </x:is>
      </x:c>
    </x:row>
  </x:sheetData>
  <x:mergeCells>
    <x:mergeCell ref="A2:F2"/>
    <x:mergeCell ref="A1:F1"/>
  </x:mergeCells>
  <x:pageMargins left="0.7" right="0.7" top="0.75" bottom="0.75" header="0.3" footer="0.3"/>
  <x:tableParts count="2">
    <x:tablePart xmlns:r="http://schemas.openxmlformats.org/officeDocument/2006/relationships" r:id="R936d27de64a84622"/>
    <x:tablePart xmlns:r="http://schemas.openxmlformats.org/officeDocument/2006/relationships" r:id="R4c7eeaba731b40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8" customWidth="1"/>
    <x:col min="3" max="3" width="10" customWidth="1"/>
    <x:col min="4" max="4" width="13" customWidth="1"/>
    <x:col min="5" max="5" width="14" customWidth="1"/>
    <x:col min="6" max="6" width="12" customWidth="1"/>
    <x:col min="7" max="7" width="34" customWidth="1"/>
    <x:col min="8" max="8" width="26" customWidth="1"/>
  </x:cols>
  <x:sheetData>
    <x:row r="1" ht="22" customHeight="1">
      <x:c r="A1" s="11" t="inlineStr">
        <x:is>
          <x:t xml:space="preserve">Home Health AI – Weighted Risk Scoring Model</x:t>
        </x:is>
      </x:c>
    </x:row>
    <x:row r="2" ht="22" customHeight="1">
      <x:c r="A2" s="12" t="inlineStr">
        <x:is>
          <x:t xml:space="preserve">Enter 0–5 scores in the blue cells. Formulas calculate weighted risk, confidence, and suggested inspection posture.</x:t>
        </x:is>
      </x:c>
    </x:row>
    <x:row r="3"/>
    <x:row r="4" ht="22" customHeight="1">
      <x:c r="A4" s="13" t="inlineStr">
        <x:is>
          <x:t xml:space="preserve">Factor</x:t>
        </x:is>
      </x:c>
      <x:c r="B4" s="13" t="inlineStr">
        <x:is>
          <x:t xml:space="preserve">What it means</x:t>
        </x:is>
      </x:c>
      <x:c r="C4" s="13" t="inlineStr">
        <x:is>
          <x:t xml:space="preserve">Weight</x:t>
        </x:is>
      </x:c>
      <x:c r="D4" s="13" t="inlineStr">
        <x:is>
          <x:t xml:space="preserve">Input Score (0–5)</x:t>
        </x:is>
      </x:c>
      <x:c r="E4" s="13" t="inlineStr">
        <x:is>
          <x:t xml:space="preserve">Weighted Score</x:t>
        </x:is>
      </x:c>
      <x:c r="F4" s="13" t="inlineStr">
        <x:is>
          <x:t xml:space="preserve">Max Weighted</x:t>
        </x:is>
      </x:c>
      <x:c r="G4" s="13" t="inlineStr">
        <x:is>
          <x:t xml:space="preserve">Professional interpretation</x:t>
        </x:is>
      </x:c>
      <x:c r="H4" s="13" t="inlineStr">
        <x:is>
          <x:t xml:space="preserve">Comment</x:t>
        </x:is>
      </x:c>
    </x:row>
    <x:row r="5">
      <x:c r="A5" s="4" t="inlineStr">
        <x:is>
          <x:t xml:space="preserve">Visible moisture</x:t>
        </x:is>
      </x:c>
      <x:c r="B5" s="4" t="inlineStr">
        <x:is>
          <x:t xml:space="preserve">Leaks, staining, halos, condensation, or wet sheen</x:t>
        </x:is>
      </x:c>
      <x:c r="C5" s="4" t="n">
        <x:v>5</x:v>
      </x:c>
      <x:c r="D5" s="15" t="n">
        <x:v>0</x:v>
      </x:c>
      <x:c r="E5" s="16">
        <x:f>C5*D5</x:f>
      </x:c>
      <x:c r="F5" s="16">
        <x:f>ABS(C5)*5</x:f>
      </x:c>
      <x:c r="G5" s="4" t="inlineStr">
        <x:is>
          <x:t xml:space="preserve">Higher moisture = stronger colonization potential</x:t>
        </x:is>
      </x:c>
      <x:c r="H5" s="4" t="inlineStr">
        <x:is>
          <x:t xml:space="preserve"/>
        </x:is>
      </x:c>
    </x:row>
    <x:row r="6">
      <x:c r="A6" s="4" t="inlineStr">
        <x:is>
          <x:t xml:space="preserve">Visible colony texture</x:t>
        </x:is>
      </x:c>
      <x:c r="B6" s="4" t="inlineStr">
        <x:is>
          <x:t xml:space="preserve">Fuzzy, powdery, slimy, patchy, irregular edge</x:t>
        </x:is>
      </x:c>
      <x:c r="C6" s="4" t="n">
        <x:v>5</x:v>
      </x:c>
      <x:c r="D6" s="15" t="n">
        <x:v>0</x:v>
      </x:c>
      <x:c r="E6" s="16">
        <x:f>C6*D6</x:f>
      </x:c>
      <x:c r="F6" s="16">
        <x:f>ABS(C6)*5</x:f>
      </x:c>
      <x:c r="G6" s="4" t="inlineStr">
        <x:is>
          <x:t xml:space="preserve">Texture is one of the strongest visual indicators</x:t>
        </x:is>
      </x:c>
      <x:c r="H6" s="4" t="inlineStr">
        <x:is>
          <x:t xml:space="preserve"/>
        </x:is>
      </x:c>
    </x:row>
    <x:row r="7">
      <x:c r="A7" s="4" t="inlineStr">
        <x:is>
          <x:t xml:space="preserve">Porous substrate</x:t>
        </x:is>
      </x:c>
      <x:c r="B7" s="4" t="inlineStr">
        <x:is>
          <x:t xml:space="preserve">Drywall, carpet, wood, insulation, ceiling tile</x:t>
        </x:is>
      </x:c>
      <x:c r="C7" s="4" t="n">
        <x:v>4</x:v>
      </x:c>
      <x:c r="D7" s="15" t="n">
        <x:v>0</x:v>
      </x:c>
      <x:c r="E7" s="16">
        <x:f>C7*D7</x:f>
      </x:c>
      <x:c r="F7" s="16">
        <x:f>ABS(C7)*5</x:f>
      </x:c>
      <x:c r="G7" s="4" t="inlineStr">
        <x:is>
          <x:t xml:space="preserve">Porous materials increase active-growth concern</x:t>
        </x:is>
      </x:c>
      <x:c r="H7" s="4" t="inlineStr">
        <x:is>
          <x:t xml:space="preserve"/>
        </x:is>
      </x:c>
    </x:row>
    <x:row r="8">
      <x:c r="A8" s="4" t="inlineStr">
        <x:is>
          <x:t xml:space="preserve">Area size / spread</x:t>
        </x:is>
      </x:c>
      <x:c r="B8" s="4" t="inlineStr">
        <x:is>
          <x:t xml:space="preserve">Larger or expanding growth footprint</x:t>
        </x:is>
      </x:c>
      <x:c r="C8" s="4" t="n">
        <x:v>4</x:v>
      </x:c>
      <x:c r="D8" s="15" t="n">
        <x:v>0</x:v>
      </x:c>
      <x:c r="E8" s="16">
        <x:f>C8*D8</x:f>
      </x:c>
      <x:c r="F8" s="16">
        <x:f>ABS(C8)*5</x:f>
      </x:c>
      <x:c r="G8" s="4" t="inlineStr">
        <x:is>
          <x:t xml:space="preserve">Bigger or spreading areas raise urgency</x:t>
        </x:is>
      </x:c>
      <x:c r="H8" s="4" t="inlineStr">
        <x:is>
          <x:t xml:space="preserve"/>
        </x:is>
      </x:c>
    </x:row>
    <x:row r="9">
      <x:c r="A9" s="4" t="inlineStr">
        <x:is>
          <x:t xml:space="preserve">Recurrence after cleaning</x:t>
        </x:is>
      </x:c>
      <x:c r="B9" s="4" t="inlineStr">
        <x:is>
          <x:t xml:space="preserve">Returns after wipe-down or prior treatment</x:t>
        </x:is>
      </x:c>
      <x:c r="C9" s="4" t="n">
        <x:v>5</x:v>
      </x:c>
      <x:c r="D9" s="15" t="n">
        <x:v>0</x:v>
      </x:c>
      <x:c r="E9" s="16">
        <x:f>C9*D9</x:f>
      </x:c>
      <x:c r="F9" s="16">
        <x:f>ABS(C9)*5</x:f>
      </x:c>
      <x:c r="G9" s="4" t="inlineStr">
        <x:is>
          <x:t xml:space="preserve">Recurrence suggests ongoing moisture or hidden source</x:t>
        </x:is>
      </x:c>
      <x:c r="H9" s="4" t="inlineStr">
        <x:is>
          <x:t xml:space="preserve"/>
        </x:is>
      </x:c>
    </x:row>
    <x:row r="10">
      <x:c r="A10" s="4" t="inlineStr">
        <x:is>
          <x:t xml:space="preserve">Odor / complaint signal</x:t>
        </x:is>
      </x:c>
      <x:c r="B10" s="4" t="inlineStr">
        <x:is>
          <x:t xml:space="preserve">Musty odor, respiratory complaint, occupant concern</x:t>
        </x:is>
      </x:c>
      <x:c r="C10" s="4" t="n">
        <x:v>3</x:v>
      </x:c>
      <x:c r="D10" s="15" t="n">
        <x:v>0</x:v>
      </x:c>
      <x:c r="E10" s="16">
        <x:f>C10*D10</x:f>
      </x:c>
      <x:c r="F10" s="16">
        <x:f>ABS(C10)*5</x:f>
      </x:c>
      <x:c r="G10" s="4" t="inlineStr">
        <x:is>
          <x:t xml:space="preserve">Supportive but not diagnostic on its own</x:t>
        </x:is>
      </x:c>
      <x:c r="H10" s="4" t="inlineStr">
        <x:is>
          <x:t xml:space="preserve"/>
        </x:is>
      </x:c>
    </x:row>
    <x:row r="11">
      <x:c r="A11" s="4" t="inlineStr">
        <x:is>
          <x:t xml:space="preserve">Indoor &gt; outdoor signal</x:t>
        </x:is>
      </x:c>
      <x:c r="B11" s="4" t="inlineStr">
        <x:is>
          <x:t xml:space="preserve">Air sample or field evidence suggests indoor amplification</x:t>
        </x:is>
      </x:c>
      <x:c r="C11" s="4" t="n">
        <x:v>5</x:v>
      </x:c>
      <x:c r="D11" s="15" t="n">
        <x:v>0</x:v>
      </x:c>
      <x:c r="E11" s="16">
        <x:f>C11*D11</x:f>
      </x:c>
      <x:c r="F11" s="16">
        <x:f>ABS(C11)*5</x:f>
      </x:c>
      <x:c r="G11" s="4" t="inlineStr">
        <x:is>
          <x:t xml:space="preserve">Useful when spore data exists</x:t>
        </x:is>
      </x:c>
      <x:c r="H11" s="4" t="inlineStr">
        <x:is>
          <x:t xml:space="preserve"/>
        </x:is>
      </x:c>
    </x:row>
    <x:row r="12">
      <x:c r="A12" s="4" t="inlineStr">
        <x:is>
          <x:t xml:space="preserve">Hard-surface residue only</x:t>
        </x:is>
      </x:c>
      <x:c r="B12" s="4" t="inlineStr">
        <x:is>
          <x:t xml:space="preserve">Spots only on tile/glass/metal with soap film or dust</x:t>
        </x:is>
      </x:c>
      <x:c r="C12" s="4" t="n">
        <x:v>-3</x:v>
      </x:c>
      <x:c r="D12" s="15" t="n">
        <x:v>0</x:v>
      </x:c>
      <x:c r="E12" s="16">
        <x:f>C12*D12</x:f>
      </x:c>
      <x:c r="F12" s="16">
        <x:f>ABS(C12)*5</x:f>
      </x:c>
      <x:c r="G12" s="4" t="inlineStr">
        <x:is>
          <x:t xml:space="preserve">This should reduce the score when residue explains the image</x:t>
        </x:is>
      </x:c>
      <x:c r="H12" s="4" t="inlineStr">
        <x:is>
          <x:t xml:space="preserve"/>
        </x:is>
      </x:c>
    </x:row>
    <x:row r="13"/>
    <x:row r="14">
      <x:c r="A14" s="17" t="inlineStr">
        <x:is>
          <x:t xml:space="preserve">Total weighted score</x:t>
        </x:is>
      </x:c>
      <x:c r="B14" s="18">
        <x:f>SUM(E5:E12)</x:f>
      </x:c>
      <x:c r="D14" s="19" t="inlineStr">
        <x:is>
          <x:t xml:space="preserve">Scenario</x:t>
        </x:is>
      </x:c>
      <x:c r="E14" s="19" t="inlineStr">
        <x:is>
          <x:t xml:space="preserve">Sample score</x:t>
        </x:is>
      </x:c>
      <x:c r="F14" s="19" t="inlineStr">
        <x:is>
          <x:t xml:space="preserve">Interpretation</x:t>
        </x:is>
      </x:c>
      <x:c r="G14" s="19" t="inlineStr">
        <x:is>
          <x:t xml:space="preserve">Use case</x:t>
        </x:is>
      </x:c>
    </x:row>
    <x:row r="15">
      <x:c r="A15" s="17" t="inlineStr">
        <x:is>
          <x:t xml:space="preserve">Maximum possible score</x:t>
        </x:is>
      </x:c>
      <x:c r="B15" s="18">
        <x:f>SUM(F5:F12)</x:f>
      </x:c>
      <x:c r="D15" s="4" t="inlineStr">
        <x:is>
          <x:t xml:space="preserve">Dry tile spotting only</x:t>
        </x:is>
      </x:c>
      <x:c r="E15" s="4" t="inlineStr">
        <x:is>
          <x:t xml:space="preserve">Low–Guarded</x:t>
        </x:is>
      </x:c>
      <x:c r="F15" s="4" t="inlineStr">
        <x:is>
          <x:t xml:space="preserve">Often residue-supported, especially without moisture source</x:t>
        </x:is>
      </x:c>
      <x:c r="G15" s="4" t="inlineStr">
        <x:is>
          <x:t xml:space="preserve">Bathroom hard surface</x:t>
        </x:is>
      </x:c>
    </x:row>
    <x:row r="16">
      <x:c r="A16" s="17" t="inlineStr">
        <x:is>
          <x:t xml:space="preserve">Normalized risk %</x:t>
        </x:is>
      </x:c>
      <x:c r="B16" s="20">
        <x:f>IF(B15=0,0,(B14+B15)/(2*B15))</x:f>
      </x:c>
      <x:c r="D16" s="4" t="inlineStr">
        <x:is>
          <x:t xml:space="preserve">Wet drywall with texture lift</x:t>
        </x:is>
      </x:c>
      <x:c r="E16" s="4" t="inlineStr">
        <x:is>
          <x:t xml:space="preserve">Elevated–High</x:t>
        </x:is>
      </x:c>
      <x:c r="F16" s="4" t="inlineStr">
        <x:is>
          <x:t xml:space="preserve">Moisture plus porous material plus visible texture</x:t>
        </x:is>
      </x:c>
      <x:c r="G16" s="4" t="inlineStr">
        <x:is>
          <x:t xml:space="preserve">Leak-related room</x:t>
        </x:is>
      </x:c>
    </x:row>
    <x:row r="17">
      <x:c r="A17" s="17" t="inlineStr">
        <x:is>
          <x:t xml:space="preserve">Risk band</x:t>
        </x:is>
      </x:c>
      <x:c r="B17" s="21">
        <x:f>IF(B16&lt;0.25,"Low",IF(B16&lt;0.45,"Guarded / Monitor",IF(B16&lt;0.65,"Moderate",IF(B16&lt;0.8,"Elevated","High"))))</x:f>
      </x:c>
      <x:c r="D17" s="4" t="inlineStr">
        <x:is>
          <x:t xml:space="preserve">Musty odor + recurring closet spotting</x:t>
        </x:is>
      </x:c>
      <x:c r="E17" s="4" t="inlineStr">
        <x:is>
          <x:t xml:space="preserve">Moderate–High</x:t>
        </x:is>
      </x:c>
      <x:c r="F17" s="4" t="inlineStr">
        <x:is>
          <x:t xml:space="preserve">Recurring pattern raises suspicion of hidden source</x:t>
        </x:is>
      </x:c>
      <x:c r="G17" s="4" t="inlineStr">
        <x:is>
          <x:t xml:space="preserve">Closet or HVAC adjacent wall</x:t>
        </x:is>
      </x:c>
    </x:row>
    <x:row r="18">
      <x:c r="A18" s="17" t="inlineStr">
        <x:is>
          <x:t xml:space="preserve">Suggested action</x:t>
        </x:is>
      </x:c>
      <x:c r="B18" s="21">
        <x:f>IF(B17="Low","Educate and monitor",IF(B17="Guarded / Monitor","Clean residue / control humidity / recheck",IF(B17="Moderate","Recommend targeted inspection",IF(B17="Elevated","Prompt inspection and moisture correction","Professional inspection and remediation-oriented language"))))</x:f>
      </x:c>
      <x:c r="D18" s="4" t="inlineStr">
        <x:is>
          <x:t xml:space="preserve">No texture, no moisture, faint discoloration</x:t>
        </x:is>
      </x:c>
      <x:c r="E18" s="4" t="inlineStr">
        <x:is>
          <x:t xml:space="preserve">Low</x:t>
        </x:is>
      </x:c>
      <x:c r="F18" s="4" t="inlineStr">
        <x:is>
          <x:t xml:space="preserve">Visual evidence weak; monitor and retake images</x:t>
        </x:is>
      </x:c>
      <x:c r="G18" s="4" t="inlineStr">
        <x:is>
          <x:t xml:space="preserve">General screening</x:t>
        </x:is>
      </x:c>
    </x:row>
    <x:row r="19">
      <x:c r="A19" s="17" t="inlineStr">
        <x:is>
          <x:t xml:space="preserve">Homeowner wording strength</x:t>
        </x:is>
      </x:c>
      <x:c r="B19" s="18">
        <x:f>IF(B17="Low","Reassuring",IF(B17="Guarded / Monitor","Cautious",IF(B17="Moderate","Balanced concern",IF(B17="Elevated","Direct concern","Strong concern"))))</x:f>
      </x:c>
    </x:row>
    <x:row r="20">
      <x:c r="A20" s="17" t="inlineStr">
        <x:is>
          <x:t xml:space="preserve">Professional wording strength</x:t>
        </x:is>
      </x:c>
      <x:c r="B20" s="18">
        <x:f>IF(B17="Low","Background / no strong visual evidence",IF(B17="Guarded / Monitor","Monitor for recurrence",IF(B17="Moderate","Possible active growth",IF(B17="Elevated","Likely active growth","High suspicion for active amplification"))))</x:f>
      </x:c>
    </x:row>
  </x:sheetData>
  <x:mergeCells>
    <x:mergeCell ref="A2:H2"/>
    <x:mergeCell ref="A1:H1"/>
  </x:mergeCells>
  <x:conditionalFormatting sqref="B17:B17">
    <x:cfRule type="cellIs" dxfId="0" priority="1" operator="equal">
      <x:formula>"Low"</x:formula>
    </x:cfRule>
    <x:cfRule type="cellIs" dxfId="1" priority="2" operator="equal">
      <x:formula>"Guarded / Monitor"</x:formula>
    </x:cfRule>
    <x:cfRule type="cellIs" dxfId="2" priority="3" operator="equal">
      <x:formula>"Moderate"</x:formula>
    </x:cfRule>
    <x:cfRule type="cellIs" dxfId="3" priority="4" operator="equal">
      <x:formula>"Elevated"</x:formula>
    </x:cfRule>
    <x:cfRule type="cellIs" dxfId="4" priority="5" operator="equal">
      <x:formula>"High"</x:formula>
    </x:cfRule>
  </x:conditionalFormatting>
  <x:pageMargins left="0.7" right="0.7" top="0.75" bottom="0.75" header="0.3" footer="0.3"/>
  <x:legacyDrawing xmlns:r="http://schemas.openxmlformats.org/officeDocument/2006/relationships" r:id="Rbf771f6d5f504b07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4" customWidth="1"/>
    <x:col min="3" max="3" width="34" customWidth="1"/>
    <x:col min="4" max="4" width="28" customWidth="1"/>
    <x:col min="5" max="5" width="22" customWidth="1"/>
    <x:col min="6" max="6" width="40" customWidth="1"/>
  </x:cols>
  <x:sheetData>
    <x:row r="1" ht="22" customHeight="1">
      <x:c r="A1" s="11" t="inlineStr">
        <x:is>
          <x:t xml:space="preserve">Home Health AI – Inspection Language by Audience</x:t>
        </x:is>
      </x:c>
    </x:row>
    <x:row r="2" ht="22" customHeight="1">
      <x:c r="A2" s="12" t="inlineStr">
        <x:is>
          <x:t xml:space="preserve">Separate homeowner language from professional language so the app stays accurate, calm, and credible.</x:t>
        </x:is>
      </x:c>
    </x:row>
    <x:row r="3"/>
    <x:row r="4" ht="22" customHeight="1">
      <x:c r="A4" s="13" t="inlineStr">
        <x:is>
          <x:t xml:space="preserve">Situation</x:t>
        </x:is>
      </x:c>
      <x:c r="B4" s="13" t="inlineStr">
        <x:is>
          <x:t xml:space="preserve">Audience</x:t>
        </x:is>
      </x:c>
      <x:c r="C4" s="13" t="inlineStr">
        <x:is>
          <x:t xml:space="preserve">Recommended wording</x:t>
        </x:is>
      </x:c>
      <x:c r="D4" s="13" t="inlineStr">
        <x:is>
          <x:t xml:space="preserve">Avoid wording</x:t>
        </x:is>
      </x:c>
      <x:c r="E4" s="13" t="inlineStr">
        <x:is>
          <x:t xml:space="preserve">Purpose</x:t>
        </x:is>
      </x:c>
      <x:c r="F4" s="13" t="inlineStr">
        <x:is>
          <x:t xml:space="preserve">Example app message</x:t>
        </x:is>
      </x:c>
    </x:row>
    <x:row r="5">
      <x:c r="A5" s="4" t="inlineStr">
        <x:is>
          <x:t xml:space="preserve">No clear evidence</x:t>
        </x:is>
      </x:c>
      <x:c r="B5" s="4" t="inlineStr">
        <x:is>
          <x:t xml:space="preserve">Homeowner</x:t>
        </x:is>
      </x:c>
      <x:c r="C5" s="4" t="inlineStr">
        <x:is>
          <x:t xml:space="preserve">No clear visual signs of active mold growth are visible in this image.</x:t>
        </x:is>
      </x:c>
      <x:c r="D5" s="4" t="inlineStr">
        <x:is>
          <x:t xml:space="preserve">You definitely do not have mold.</x:t>
        </x:is>
      </x:c>
      <x:c r="E5" s="4" t="inlineStr">
        <x:is>
          <x:t xml:space="preserve">Avoid false certainty</x:t>
        </x:is>
      </x:c>
      <x:c r="F5" s="4" t="inlineStr">
        <x:is>
          <x:t xml:space="preserve">We do not see strong visual evidence of active growth in this photo. Keep the area dry and recheck if it changes.</x:t>
        </x:is>
      </x:c>
    </x:row>
    <x:row r="6">
      <x:c r="A6" s="4" t="inlineStr">
        <x:is>
          <x:t xml:space="preserve">No clear evidence</x:t>
        </x:is>
      </x:c>
      <x:c r="B6" s="4" t="inlineStr">
        <x:is>
          <x:t xml:space="preserve">Professional</x:t>
        </x:is>
      </x:c>
      <x:c r="C6" s="4" t="inlineStr">
        <x:is>
          <x:t xml:space="preserve">Image does not show strong visual indicators of active colonization at this time.</x:t>
        </x:is>
      </x:c>
      <x:c r="D6" s="4" t="inlineStr">
        <x:is>
          <x:t xml:space="preserve">No mold present.</x:t>
        </x:is>
      </x:c>
      <x:c r="E6" s="4" t="inlineStr">
        <x:is>
          <x:t xml:space="preserve">Preserve professional caution</x:t>
        </x:is>
      </x:c>
      <x:c r="F6" s="4" t="inlineStr">
        <x:is>
          <x:t xml:space="preserve">Visual evidence is limited; continue routine moisture control and reassess if conditions change.</x:t>
        </x:is>
      </x:c>
    </x:row>
    <x:row r="7">
      <x:c r="A7" s="4" t="inlineStr">
        <x:is>
          <x:t xml:space="preserve">Hard surface spotting</x:t>
        </x:is>
      </x:c>
      <x:c r="B7" s="4" t="inlineStr">
        <x:is>
          <x:t xml:space="preserve">Homeowner</x:t>
        </x:is>
      </x:c>
      <x:c r="C7" s="4" t="inlineStr">
        <x:is>
          <x:t xml:space="preserve">This pattern may be surface residue or growth supported by dust/soap film on a hard surface.</x:t>
        </x:is>
      </x:c>
      <x:c r="D7" s="4" t="inlineStr">
        <x:is>
          <x:t xml:space="preserve">The tile itself is moldy.</x:t>
        </x:is>
      </x:c>
      <x:c r="E7" s="4" t="inlineStr">
        <x:is>
          <x:t xml:space="preserve">Teach substrate logic</x:t>
        </x:is>
      </x:c>
      <x:c r="F7" s="4" t="inlineStr">
        <x:is>
          <x:t xml:space="preserve">These spots may be feeding on residue rather than the tile or glass itself. Clean thoroughly and reduce moisture.</x:t>
        </x:is>
      </x:c>
    </x:row>
    <x:row r="8">
      <x:c r="A8" s="4" t="inlineStr">
        <x:is>
          <x:t xml:space="preserve">Hard surface spotting</x:t>
        </x:is>
      </x:c>
      <x:c r="B8" s="4" t="inlineStr">
        <x:is>
          <x:t xml:space="preserve">Professional</x:t>
        </x:is>
      </x:c>
      <x:c r="C8" s="4" t="inlineStr">
        <x:is>
          <x:t xml:space="preserve">Appearance is consistent with residue-supported growth on a non-porous surface, pending site context.</x:t>
        </x:is>
      </x:c>
      <x:c r="D8" s="4" t="inlineStr">
        <x:is>
          <x:t xml:space="preserve">Confirmed colonization of non-porous substrate.</x:t>
        </x:is>
      </x:c>
      <x:c r="E8" s="4" t="inlineStr">
        <x:is>
          <x:t xml:space="preserve">Use precise technical framing</x:t>
        </x:is>
      </x:c>
      <x:c r="F8" s="4" t="inlineStr">
        <x:is>
          <x:t xml:space="preserve">Non-porous substrate involvement appears secondary to residue loading; confirm with field context.</x:t>
        </x:is>
      </x:c>
    </x:row>
    <x:row r="9">
      <x:c r="A9" s="4" t="inlineStr">
        <x:is>
          <x:t xml:space="preserve">Moisture without visible colony</x:t>
        </x:is>
      </x:c>
      <x:c r="B9" s="4" t="inlineStr">
        <x:is>
          <x:t xml:space="preserve">Homeowner</x:t>
        </x:is>
      </x:c>
      <x:c r="C9" s="4" t="inlineStr">
        <x:is>
          <x:t xml:space="preserve">Moisture conditions are present and may support future mold growth.</x:t>
        </x:is>
      </x:c>
      <x:c r="D9" s="4" t="inlineStr">
        <x:is>
          <x:t xml:space="preserve">There is mold here.</x:t>
        </x:is>
      </x:c>
      <x:c r="E9" s="4" t="inlineStr">
        <x:is>
          <x:t xml:space="preserve">Flag risk without overcalling</x:t>
        </x:is>
      </x:c>
      <x:c r="F9" s="4" t="inlineStr">
        <x:is>
          <x:t xml:space="preserve">We see moisture-related warning signs. Address the leak or humidity source and monitor for changes.</x:t>
        </x:is>
      </x:c>
    </x:row>
    <x:row r="10">
      <x:c r="A10" s="4" t="inlineStr">
        <x:is>
          <x:t xml:space="preserve">Moisture without visible colony</x:t>
        </x:is>
      </x:c>
      <x:c r="B10" s="4" t="inlineStr">
        <x:is>
          <x:t xml:space="preserve">Professional</x:t>
        </x:is>
      </x:c>
      <x:c r="C10" s="4" t="inlineStr">
        <x:is>
          <x:t xml:space="preserve">Moisture indicators are present; visual evidence of active growth is not yet definitive.</x:t>
        </x:is>
      </x:c>
      <x:c r="D10" s="4" t="inlineStr">
        <x:is>
          <x:t xml:space="preserve">Active mold confirmed.</x:t>
        </x:is>
      </x:c>
      <x:c r="E10" s="4" t="inlineStr">
        <x:is>
          <x:t xml:space="preserve">Separate conditions from diagnosis</x:t>
        </x:is>
      </x:c>
      <x:c r="F10" s="4" t="inlineStr">
        <x:is>
          <x:t xml:space="preserve">Conditions are favorable for colonization; inspect source and monitor for progression.</x:t>
        </x:is>
      </x:c>
    </x:row>
    <x:row r="11">
      <x:c r="A11" s="4" t="inlineStr">
        <x:is>
          <x:t xml:space="preserve">Possible active growth</x:t>
        </x:is>
      </x:c>
      <x:c r="B11" s="4" t="inlineStr">
        <x:is>
          <x:t xml:space="preserve">Homeowner</x:t>
        </x:is>
      </x:c>
      <x:c r="C11" s="4" t="inlineStr">
        <x:is>
          <x:t xml:space="preserve">This image shows patterns that may be consistent with active mold growth.</x:t>
        </x:is>
      </x:c>
      <x:c r="D11" s="4" t="inlineStr">
        <x:is>
          <x:t xml:space="preserve">This is toxic mold.</x:t>
        </x:is>
      </x:c>
      <x:c r="E11" s="4" t="inlineStr">
        <x:is>
          <x:t xml:space="preserve">Maintain caution and avoid medical/legal overreach</x:t>
        </x:is>
      </x:c>
      <x:c r="F11" s="4" t="inlineStr">
        <x:is>
          <x:t xml:space="preserve">The visible texture and moisture pattern raise concern for active growth. A targeted inspection is recommended.</x:t>
        </x:is>
      </x:c>
    </x:row>
    <x:row r="12">
      <x:c r="A12" s="4" t="inlineStr">
        <x:is>
          <x:t xml:space="preserve">Possible active growth</x:t>
        </x:is>
      </x:c>
      <x:c r="B12" s="4" t="inlineStr">
        <x:is>
          <x:t xml:space="preserve">Professional</x:t>
        </x:is>
      </x:c>
      <x:c r="C12" s="4" t="inlineStr">
        <x:is>
          <x:t xml:space="preserve">Visual findings are consistent with possible active fungal colonization associated with moisture intrusion.</x:t>
        </x:is>
      </x:c>
      <x:c r="D12" s="4" t="inlineStr">
        <x:is>
          <x:t xml:space="preserve">Confirmed toxigenic contamination from image alone.</x:t>
        </x:is>
      </x:c>
      <x:c r="E12" s="4" t="inlineStr">
        <x:is>
          <x:t xml:space="preserve">Use report-ready wording</x:t>
        </x:is>
      </x:c>
      <x:c r="F12" s="4" t="inlineStr">
        <x:is>
          <x:t xml:space="preserve">Findings warrant site inspection, moisture mapping, and substrate evaluation.</x:t>
        </x:is>
      </x:c>
    </x:row>
    <x:row r="13">
      <x:c r="A13" s="4" t="inlineStr">
        <x:is>
          <x:t xml:space="preserve">High concern / recurring issue</x:t>
        </x:is>
      </x:c>
      <x:c r="B13" s="4" t="inlineStr">
        <x:is>
          <x:t xml:space="preserve">Homeowner</x:t>
        </x:is>
      </x:c>
      <x:c r="C13" s="4" t="inlineStr">
        <x:is>
          <x:t xml:space="preserve">Multiple warning signs suggest this issue should be inspected promptly by a qualified professional.</x:t>
        </x:is>
      </x:c>
      <x:c r="D13" s="4" t="inlineStr">
        <x:is>
          <x:t xml:space="preserve">Your house is unsafe.</x:t>
        </x:is>
      </x:c>
      <x:c r="E13" s="4" t="inlineStr">
        <x:is>
          <x:t xml:space="preserve">Create urgency without fear language</x:t>
        </x:is>
      </x:c>
      <x:c r="F13" s="4" t="inlineStr">
        <x:is>
          <x:t xml:space="preserve">Because the issue appears recurrent and moisture-related, professional inspection is recommended.</x:t>
        </x:is>
      </x:c>
    </x:row>
    <x:row r="14">
      <x:c r="A14" s="4" t="inlineStr">
        <x:is>
          <x:t xml:space="preserve">High concern / recurring issue</x:t>
        </x:is>
      </x:c>
      <x:c r="B14" s="4" t="inlineStr">
        <x:is>
          <x:t xml:space="preserve">Professional</x:t>
        </x:is>
      </x:c>
      <x:c r="C14" s="4" t="inlineStr">
        <x:is>
          <x:t xml:space="preserve">Combined indicators raise concern for active amplification and a persistent moisture source.</x:t>
        </x:is>
      </x:c>
      <x:c r="D14" s="4" t="inlineStr">
        <x:is>
          <x:t xml:space="preserve">Building-wide contamination confirmed.</x:t>
        </x:is>
      </x:c>
      <x:c r="E14" s="4" t="inlineStr">
        <x:is>
          <x:t xml:space="preserve">Escalate appropriately</x:t>
        </x:is>
      </x:c>
      <x:c r="F14" s="4" t="inlineStr">
        <x:is>
          <x:t xml:space="preserve">Recommend moisture correction, source investigation, and remediation scope based on field findings.</x:t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d12e17dd6d1e4cb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2" customWidth="1"/>
    <x:col min="4" max="4" width="28" customWidth="1"/>
    <x:col min="5" max="5" width="18" customWidth="1"/>
    <x:col min="6" max="6" width="12" customWidth="1"/>
    <x:col min="7" max="7" width="24" customWidth="1"/>
    <x:col min="8" max="8" width="28" customWidth="1"/>
  </x:cols>
  <x:sheetData>
    <x:row r="1" ht="22" customHeight="1">
      <x:c r="A1" s="11" t="inlineStr">
        <x:is>
          <x:t xml:space="preserve">Home Health AI – Moisture Source Classification</x:t>
        </x:is>
      </x:c>
    </x:row>
    <x:row r="2" ht="22" customHeight="1">
      <x:c r="A2" s="12" t="inlineStr">
        <x:is>
          <x:t xml:space="preserve">Use this sheet to classify likely moisture causes behind visible mold or moisture signatures. The AI should infer source likelihood, not overstate certainty.</x:t>
        </x:is>
      </x:c>
    </x:row>
    <x:row r="3"/>
    <x:row r="4" ht="22" customHeight="1">
      <x:c r="A4" s="13" t="inlineStr">
        <x:is>
          <x:t xml:space="preserve">Source Type</x:t>
        </x:is>
      </x:c>
      <x:c r="B4" s="13" t="inlineStr">
        <x:is>
          <x:t xml:space="preserve">Typical Indicators</x:t>
        </x:is>
      </x:c>
      <x:c r="C4" s="13" t="inlineStr">
        <x:is>
          <x:t xml:space="preserve">Common Rooms</x:t>
        </x:is>
      </x:c>
      <x:c r="D4" s="13" t="inlineStr">
        <x:is>
          <x:t xml:space="preserve">Visual Clues</x:t>
        </x:is>
      </x:c>
      <x:c r="E4" s="13" t="inlineStr">
        <x:is>
          <x:t xml:space="preserve">Risk Pattern</x:t>
        </x:is>
      </x:c>
      <x:c r="F4" s="13" t="inlineStr">
        <x:is>
          <x:t xml:space="preserve">Likely Hidden?</x:t>
        </x:is>
      </x:c>
      <x:c r="G4" s="13" t="inlineStr">
        <x:is>
          <x:t xml:space="preserve">Suggested AI Output</x:t>
        </x:is>
      </x:c>
      <x:c r="H4" s="13" t="inlineStr">
        <x:is>
          <x:t xml:space="preserve">Professional Follow-up</x:t>
        </x:is>
      </x:c>
    </x:row>
    <x:row r="5">
      <x:c r="A5" s="4" t="inlineStr">
        <x:is>
          <x:t xml:space="preserve">Plumbing leak</x:t>
        </x:is>
      </x:c>
      <x:c r="B5" s="4" t="inlineStr">
        <x:is>
          <x:t xml:space="preserve">Localized wetness, recurring moisture near supply/drain lines</x:t>
        </x:is>
      </x:c>
      <x:c r="C5" s="4" t="inlineStr">
        <x:is>
          <x:t xml:space="preserve">Bathrooms, kitchens, laundry, under sinks</x:t>
        </x:is>
      </x:c>
      <x:c r="D5" s="4" t="inlineStr">
        <x:is>
          <x:t xml:space="preserve">Cabinet base swelling, repeated spotting below fixtures, staining around penetrations</x:t>
        </x:is>
      </x:c>
      <x:c r="E5" s="4" t="inlineStr">
        <x:is>
          <x:t xml:space="preserve">Persistent if leak remains active</x:t>
        </x:is>
      </x:c>
      <x:c r="F5" s="4" t="inlineStr">
        <x:is>
          <x:t xml:space="preserve">High</x:t>
        </x:is>
      </x:c>
      <x:c r="G5" s="4" t="inlineStr">
        <x:is>
          <x:t xml:space="preserve">Possible plumbing-related moisture source</x:t>
        </x:is>
      </x:c>
      <x:c r="H5" s="4" t="inlineStr">
        <x:is>
          <x:t xml:space="preserve">Inspect supply lines, traps, shutoffs, wall cavity if recurring</x:t>
        </x:is>
      </x:c>
    </x:row>
    <x:row r="6">
      <x:c r="A6" s="4" t="inlineStr">
        <x:is>
          <x:t xml:space="preserve">Roof leak</x:t>
        </x:is>
      </x:c>
      <x:c r="B6" s="4" t="inlineStr">
        <x:is>
          <x:t xml:space="preserve">Ceiling/wall staining after rain, attic-side dampness</x:t>
        </x:is>
      </x:c>
      <x:c r="C6" s="4" t="inlineStr">
        <x:is>
          <x:t xml:space="preserve">Attics, upper ceilings, exterior-adjacent walls</x:t>
        </x:is>
      </x:c>
      <x:c r="D6" s="4" t="inlineStr">
        <x:is>
          <x:t xml:space="preserve">Brown/yellow halos, ceiling texture damage, vertical drip paths</x:t>
        </x:is>
      </x:c>
      <x:c r="E6" s="4" t="inlineStr">
        <x:is>
          <x:t xml:space="preserve">Can worsen seasonally</x:t>
        </x:is>
      </x:c>
      <x:c r="F6" s="4" t="inlineStr">
        <x:is>
          <x:t xml:space="preserve">Moderate-High</x:t>
        </x:is>
      </x:c>
      <x:c r="G6" s="4" t="inlineStr">
        <x:is>
          <x:t xml:space="preserve">Possible roof or flashing intrusion</x:t>
        </x:is>
      </x:c>
      <x:c r="H6" s="4" t="inlineStr">
        <x:is>
          <x:t xml:space="preserve">Inspect roof assembly, attic decking, penetrations, flashing</x:t>
        </x:is>
      </x:c>
    </x:row>
    <x:row r="7">
      <x:c r="A7" s="4" t="inlineStr">
        <x:is>
          <x:t xml:space="preserve">HVAC condensation</x:t>
        </x:is>
      </x:c>
      <x:c r="B7" s="4" t="inlineStr">
        <x:is>
          <x:t xml:space="preserve">Growth around vents, air handler, drain pans, ducts</x:t>
        </x:is>
      </x:c>
      <x:c r="C7" s="4" t="inlineStr">
        <x:is>
          <x:t xml:space="preserve">Closets, mechanical rooms, ceilings near vents</x:t>
        </x:is>
      </x:c>
      <x:c r="D7" s="4" t="inlineStr">
        <x:is>
          <x:t xml:space="preserve">Black spotting near register boots, condensation sheen, rust marks</x:t>
        </x:is>
      </x:c>
      <x:c r="E7" s="4" t="inlineStr">
        <x:is>
          <x:t xml:space="preserve">Often chronic if drainage/insulation poor</x:t>
        </x:is>
      </x:c>
      <x:c r="F7" s="4" t="inlineStr">
        <x:is>
          <x:t xml:space="preserve">Moderate-High</x:t>
        </x:is>
      </x:c>
      <x:c r="G7" s="4" t="inlineStr">
        <x:is>
          <x:t xml:space="preserve">Possible HVAC condensation source</x:t>
        </x:is>
      </x:c>
      <x:c r="H7" s="4" t="inlineStr">
        <x:is>
          <x:t xml:space="preserve">Check drain pans, line clogs, duct insulation, humidity control</x:t>
        </x:is>
      </x:c>
    </x:row>
    <x:row r="8">
      <x:c r="A8" s="4" t="inlineStr">
        <x:is>
          <x:t xml:space="preserve">Humidity / condensation</x:t>
        </x:is>
      </x:c>
      <x:c r="B8" s="4" t="inlineStr">
        <x:is>
          <x:t xml:space="preserve">Diffuse spotting on cool surfaces, windows, corners</x:t>
        </x:is>
      </x:c>
      <x:c r="C8" s="4" t="inlineStr">
        <x:is>
          <x:t xml:space="preserve">Bathrooms, bedrooms, exterior walls, closets</x:t>
        </x:is>
      </x:c>
      <x:c r="D8" s="4" t="inlineStr">
        <x:is>
          <x:t xml:space="preserve">Uniform spotting, window track moisture, cold-corner growth</x:t>
        </x:is>
      </x:c>
      <x:c r="E8" s="4" t="inlineStr">
        <x:is>
          <x:t xml:space="preserve">Often seasonal and room-wide</x:t>
        </x:is>
      </x:c>
      <x:c r="F8" s="4" t="inlineStr">
        <x:is>
          <x:t xml:space="preserve">Moderate</x:t>
        </x:is>
      </x:c>
      <x:c r="G8" s="4" t="inlineStr">
        <x:is>
          <x:t xml:space="preserve">High indoor humidity / condensation likely</x:t>
        </x:is>
      </x:c>
      <x:c r="H8" s="4" t="inlineStr">
        <x:is>
          <x:t xml:space="preserve">Check ventilation, RH, thermal bridging, occupant habits</x:t>
        </x:is>
      </x:c>
    </x:row>
    <x:row r="9">
      <x:c r="A9" s="4" t="inlineStr">
        <x:is>
          <x:t xml:space="preserve">Ground / crawlspace moisture</x:t>
        </x:is>
      </x:c>
      <x:c r="B9" s="4" t="inlineStr">
        <x:is>
          <x:t xml:space="preserve">Lower-wall dampness, musty odor, subfloor concerns</x:t>
        </x:is>
      </x:c>
      <x:c r="C9" s="4" t="inlineStr">
        <x:is>
          <x:t xml:space="preserve">Crawlspaces, lower walls, first-floor closets</x:t>
        </x:is>
      </x:c>
      <x:c r="D9" s="4" t="inlineStr">
        <x:is>
          <x:t xml:space="preserve">Baseboard staining, floor-edge cupping, insulation discoloration</x:t>
        </x:is>
      </x:c>
      <x:c r="E9" s="4" t="inlineStr">
        <x:is>
          <x:t xml:space="preserve">Can spread broadly over time</x:t>
        </x:is>
      </x:c>
      <x:c r="F9" s="4" t="inlineStr">
        <x:is>
          <x:t xml:space="preserve">High</x:t>
        </x:is>
      </x:c>
      <x:c r="G9" s="4" t="inlineStr">
        <x:is>
          <x:t xml:space="preserve">Possible ground moisture or crawlspace contribution</x:t>
        </x:is>
      </x:c>
      <x:c r="H9" s="4" t="inlineStr">
        <x:is>
          <x:t xml:space="preserve">Inspect vapor barrier, drainage, vents, subfloor moisture</x:t>
        </x:is>
      </x:c>
    </x:row>
    <x:row r="10">
      <x:c r="A10" s="4" t="inlineStr">
        <x:is>
          <x:t xml:space="preserve">Flood / bulk water event</x:t>
        </x:is>
      </x:c>
      <x:c r="B10" s="4" t="inlineStr">
        <x:is>
          <x:t xml:space="preserve">Rapid wetting history, broad material impact</x:t>
        </x:is>
      </x:c>
      <x:c r="C10" s="4" t="inlineStr">
        <x:is>
          <x:t xml:space="preserve">Any room after intrusion</x:t>
        </x:is>
      </x:c>
      <x:c r="D10" s="4" t="inlineStr">
        <x:is>
          <x:t xml:space="preserve">Water line, warped materials, staining and debris patterns</x:t>
        </x:is>
      </x:c>
      <x:c r="E10" s="4" t="inlineStr">
        <x:is>
          <x:t xml:space="preserve">High acute risk</x:t>
        </x:is>
      </x:c>
      <x:c r="F10" s="4" t="inlineStr">
        <x:is>
          <x:t xml:space="preserve">Variable</x:t>
        </x:is>
      </x:c>
      <x:c r="G10" s="4" t="inlineStr">
        <x:is>
          <x:t xml:space="preserve">Past bulk-water event may explain growth conditions</x:t>
        </x:is>
      </x:c>
      <x:c r="H10" s="4" t="inlineStr">
        <x:is>
          <x:t xml:space="preserve">Determine event history, material replacement scope, drying verification</x:t>
        </x:is>
      </x:c>
    </x:row>
    <x:row r="11">
      <x:c r="A11" s="4" t="inlineStr">
        <x:is>
          <x:t xml:space="preserve">Window / envelope intrusion</x:t>
        </x:is>
      </x:c>
      <x:c r="B11" s="4" t="inlineStr">
        <x:is>
          <x:t xml:space="preserve">Localized staining below windows or exterior penetrations</x:t>
        </x:is>
      </x:c>
      <x:c r="C11" s="4" t="inlineStr">
        <x:is>
          <x:t xml:space="preserve">Bedrooms, living rooms, exterior-facing walls</x:t>
        </x:is>
      </x:c>
      <x:c r="D11" s="4" t="inlineStr">
        <x:is>
          <x:t xml:space="preserve">Streaking below sill, trim swelling, localized drywall discoloration</x:t>
        </x:is>
      </x:c>
      <x:c r="E11" s="4" t="inlineStr">
        <x:is>
          <x:t xml:space="preserve">May recur with weather</x:t>
        </x:is>
      </x:c>
      <x:c r="F11" s="4" t="inlineStr">
        <x:is>
          <x:t xml:space="preserve">Moderate</x:t>
        </x:is>
      </x:c>
      <x:c r="G11" s="4" t="inlineStr">
        <x:is>
          <x:t xml:space="preserve">Possible envelope or window intrusion</x:t>
        </x:is>
      </x:c>
      <x:c r="H11" s="4" t="inlineStr">
        <x:is>
          <x:t xml:space="preserve">Inspect sealants, flashing, cladding transitions</x:t>
        </x:is>
      </x:c>
    </x:row>
    <x:row r="12">
      <x:c r="A12" s="4" t="inlineStr">
        <x:is>
          <x:t xml:space="preserve">Unknown / mixed</x:t>
        </x:is>
      </x:c>
      <x:c r="B12" s="4" t="inlineStr">
        <x:is>
          <x:t xml:space="preserve">Multiple possible indicators with weak source confidence</x:t>
        </x:is>
      </x:c>
      <x:c r="C12" s="4" t="inlineStr">
        <x:is>
          <x:t xml:space="preserve">Any</x:t>
        </x:is>
      </x:c>
      <x:c r="D12" s="4" t="inlineStr">
        <x:is>
          <x:t xml:space="preserve">Mixed evidence</x:t>
        </x:is>
      </x:c>
      <x:c r="E12" s="4" t="inlineStr">
        <x:is>
          <x:t xml:space="preserve">Needs contextual review</x:t>
        </x:is>
      </x:c>
      <x:c r="F12" s="4" t="inlineStr">
        <x:is>
          <x:t xml:space="preserve">Unknown</x:t>
        </x:is>
      </x:c>
      <x:c r="G12" s="4" t="inlineStr">
        <x:is>
          <x:t xml:space="preserve">Moisture source unclear from image alone</x:t>
        </x:is>
      </x:c>
      <x:c r="H12" s="4" t="inlineStr">
        <x:is>
          <x:t xml:space="preserve">Use site history, moisture mapping, and more images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f809a95978a4a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24" customWidth="1"/>
    <x:col min="3" max="3" width="28" customWidth="1"/>
    <x:col min="4" max="4" width="22" customWidth="1"/>
    <x:col min="5" max="5" width="22" customWidth="1"/>
    <x:col min="6" max="6" width="24" customWidth="1"/>
    <x:col min="7" max="7" width="26" customWidth="1"/>
    <x:col min="8" max="8" width="24" customWidth="1"/>
    <x:col min="9" max="9" width="12" customWidth="1"/>
  </x:cols>
  <x:sheetData>
    <x:row r="1" ht="22" customHeight="1">
      <x:c r="A1" s="11" t="inlineStr">
        <x:is>
          <x:t xml:space="preserve">Home Health AI – Room-by-Room Inspection Logic</x:t>
        </x:is>
      </x:c>
    </x:row>
    <x:row r="2" ht="22" customHeight="1">
      <x:c r="A2" s="12" t="inlineStr">
        <x:is>
          <x:t xml:space="preserve">Use this sheet to tailor AI recommendations to the room context. The same visual pattern can mean different things in a bathroom than in an attic or crawlspace.</x:t>
        </x:is>
      </x:c>
    </x:row>
    <x:row r="3"/>
    <x:row r="4" ht="22" customHeight="1">
      <x:c r="A4" s="13" t="inlineStr">
        <x:is>
          <x:t xml:space="preserve">Room / Area</x:t>
        </x:is>
      </x:c>
      <x:c r="B4" s="13" t="inlineStr">
        <x:is>
          <x:t xml:space="preserve">Primary Risk Drivers</x:t>
        </x:is>
      </x:c>
      <x:c r="C4" s="13" t="inlineStr">
        <x:is>
          <x:t xml:space="preserve">High-Value Checkpoints</x:t>
        </x:is>
      </x:c>
      <x:c r="D4" s="13" t="inlineStr">
        <x:is>
          <x:t xml:space="preserve">Common False Positives</x:t>
        </x:is>
      </x:c>
      <x:c r="E4" s="13" t="inlineStr">
        <x:is>
          <x:t xml:space="preserve">Escalation Triggers</x:t>
        </x:is>
      </x:c>
      <x:c r="F4" s="13" t="inlineStr">
        <x:is>
          <x:t xml:space="preserve">Homeowner Language</x:t>
        </x:is>
      </x:c>
      <x:c r="G4" s="13" t="inlineStr">
        <x:is>
          <x:t xml:space="preserve">Professional Language</x:t>
        </x:is>
      </x:c>
      <x:c r="H4" s="13" t="inlineStr">
        <x:is>
          <x:t xml:space="preserve">Suggested Next Step</x:t>
        </x:is>
      </x:c>
      <x:c r="I4" s="13" t="inlineStr">
        <x:is>
          <x:t xml:space="preserve">Priority</x:t>
        </x:is>
      </x:c>
    </x:row>
    <x:row r="5">
      <x:c r="A5" s="4" t="inlineStr">
        <x:is>
          <x:t xml:space="preserve">Bathroom</x:t>
        </x:is>
      </x:c>
      <x:c r="B5" s="4" t="inlineStr">
        <x:is>
          <x:t xml:space="preserve">Humidity, shower condensation, plumbing leaks</x:t>
        </x:is>
      </x:c>
      <x:c r="C5" s="4" t="inlineStr">
        <x:is>
          <x:t xml:space="preserve">Caulk lines, grout, vanity base, toilet seal area, exhaust fan performance</x:t>
        </x:is>
      </x:c>
      <x:c r="D5" s="4" t="inlineStr">
        <x:is>
          <x:t xml:space="preserve">Soap film, mildew on residue, cosmetic staining</x:t>
        </x:is>
      </x:c>
      <x:c r="E5" s="4" t="inlineStr">
        <x:is>
          <x:t xml:space="preserve">Recurring spotting, bubbling drywall, sub-sink moisture</x:t>
        </x:is>
      </x:c>
      <x:c r="F5" s="4" t="inlineStr">
        <x:is>
          <x:t xml:space="preserve">This area often has humidity-related spotting. Improve drying and check for leaks.</x:t>
        </x:is>
      </x:c>
      <x:c r="G5" s="4" t="inlineStr">
        <x:is>
          <x:t xml:space="preserve">Bathroom conditions favor condensation-related growth; evaluate ventilation and concealed plumbing.</x:t>
        </x:is>
      </x:c>
      <x:c r="H5" s="4" t="inlineStr">
        <x:is>
          <x:t xml:space="preserve">Check RH, fan, caulk/grout, plumbing under vanity</x:t>
        </x:is>
      </x:c>
      <x:c r="I5" s="4" t="inlineStr">
        <x:is>
          <x:t xml:space="preserve">Moderate</x:t>
        </x:is>
      </x:c>
    </x:row>
    <x:row r="6">
      <x:c r="A6" s="4" t="inlineStr">
        <x:is>
          <x:t xml:space="preserve">Kitchen</x:t>
        </x:is>
      </x:c>
      <x:c r="B6" s="4" t="inlineStr">
        <x:is>
          <x:t xml:space="preserve">Sink leaks, dishwasher leaks, icemaker line, poor ventilation</x:t>
        </x:is>
      </x:c>
      <x:c r="C6" s="4" t="inlineStr">
        <x:is>
          <x:t xml:space="preserve">Under sink, behind dishwasher, refrigerator line, backsplash penetrations</x:t>
        </x:is>
      </x:c>
      <x:c r="D6" s="4" t="inlineStr">
        <x:is>
          <x:t xml:space="preserve">Food splatter, grease film, old staining</x:t>
        </x:is>
      </x:c>
      <x:c r="E6" s="4" t="inlineStr">
        <x:is>
          <x:t xml:space="preserve">Recurring cabinet-base swelling, odor, hidden leak history</x:t>
        </x:is>
      </x:c>
      <x:c r="F6" s="4" t="inlineStr">
        <x:is>
          <x:t xml:space="preserve">Kitchen moisture can come from plumbing or appliance lines. Recurring spots should be checked.</x:t>
        </x:is>
      </x:c>
      <x:c r="G6" s="4" t="inlineStr">
        <x:is>
          <x:t xml:space="preserve">Inspect for active or intermittent plumbing/appliance leaks and substrate impact.</x:t>
        </x:is>
      </x:c>
      <x:c r="H6" s="4" t="inlineStr">
        <x:is>
          <x:t xml:space="preserve">Inspect appliance lines and cabinet base; retake images after cleaning</x:t>
        </x:is>
      </x:c>
      <x:c r="I6" s="4" t="inlineStr">
        <x:is>
          <x:t xml:space="preserve">Moderate-High</x:t>
        </x:is>
      </x:c>
    </x:row>
    <x:row r="7">
      <x:c r="A7" s="4" t="inlineStr">
        <x:is>
          <x:t xml:space="preserve">Laundry</x:t>
        </x:is>
      </x:c>
      <x:c r="B7" s="4" t="inlineStr">
        <x:is>
          <x:t xml:space="preserve">Washer hoses, drain overflow, dryer humidity</x:t>
        </x:is>
      </x:c>
      <x:c r="C7" s="4" t="inlineStr">
        <x:is>
          <x:t xml:space="preserve">Supply hoses, drain standpipe, behind washer, wall base</x:t>
        </x:is>
      </x:c>
      <x:c r="D7" s="4" t="inlineStr">
        <x:is>
          <x:t xml:space="preserve">Detergent residue, lint buildup</x:t>
        </x:is>
      </x:c>
      <x:c r="E7" s="4" t="inlineStr">
        <x:is>
          <x:t xml:space="preserve">Recurring dampness, floor edge damage, musty closet-like odor</x:t>
        </x:is>
      </x:c>
      <x:c r="F7" s="4" t="inlineStr">
        <x:is>
          <x:t xml:space="preserve">Laundry areas can stay damp from hoses or drainage problems.</x:t>
        </x:is>
      </x:c>
      <x:c r="G7" s="4" t="inlineStr">
        <x:is>
          <x:t xml:space="preserve">Assess intermittent discharge, hose integrity, drain overflow risk, and adjacent material wetting.</x:t>
        </x:is>
      </x:c>
      <x:c r="H7" s="4" t="inlineStr">
        <x:is>
          <x:t xml:space="preserve">Inspect hoses, drain line, pan, nearby drywall and flooring</x:t>
        </x:is>
      </x:c>
      <x:c r="I7" s="4" t="inlineStr">
        <x:is>
          <x:t xml:space="preserve">Moderate-High</x:t>
        </x:is>
      </x:c>
    </x:row>
    <x:row r="8">
      <x:c r="A8" s="4" t="inlineStr">
        <x:is>
          <x:t xml:space="preserve">Bedroom</x:t>
        </x:is>
      </x:c>
      <x:c r="B8" s="4" t="inlineStr">
        <x:is>
          <x:t xml:space="preserve">Window condensation, exterior-wall intrusion, closet stagnation</x:t>
        </x:is>
      </x:c>
      <x:c r="C8" s="4" t="inlineStr">
        <x:is>
          <x:t xml:space="preserve">Window sills, exterior corners, closet walls</x:t>
        </x:is>
      </x:c>
      <x:c r="D8" s="4" t="inlineStr">
        <x:is>
          <x:t xml:space="preserve">Dust, scuffs, shadowing</x:t>
        </x:is>
      </x:c>
      <x:c r="E8" s="4" t="inlineStr">
        <x:is>
          <x:t xml:space="preserve">Cold-corner spotting, repeated window moisture, occupant complaint</x:t>
        </x:is>
      </x:c>
      <x:c r="F8" s="4" t="inlineStr">
        <x:is>
          <x:t xml:space="preserve">Bedrooms can collect condensation on cooler walls or around windows.</x:t>
        </x:is>
      </x:c>
      <x:c r="G8" s="4" t="inlineStr">
        <x:is>
          <x:t xml:space="preserve">Differentiate condensation patterns from envelope intrusion and evaluate closet airflow.</x:t>
        </x:is>
      </x:c>
      <x:c r="H8" s="4" t="inlineStr">
        <x:is>
          <x:t xml:space="preserve">Check windows, RH, airflow, exterior wall temperature</x:t>
        </x:is>
      </x:c>
      <x:c r="I8" s="4" t="inlineStr">
        <x:is>
          <x:t xml:space="preserve">Moderate</x:t>
        </x:is>
      </x:c>
    </x:row>
    <x:row r="9">
      <x:c r="A9" s="4" t="inlineStr">
        <x:is>
          <x:t xml:space="preserve">Closet</x:t>
        </x:is>
      </x:c>
      <x:c r="B9" s="4" t="inlineStr">
        <x:is>
          <x:t xml:space="preserve">Low airflow, humidity, exterior wall cooling, hidden leaks</x:t>
        </x:is>
      </x:c>
      <x:c r="C9" s="4" t="inlineStr">
        <x:is>
          <x:t xml:space="preserve">Back walls, corners, ceiling-wall joints, adjacent plumbing walls</x:t>
        </x:is>
      </x:c>
      <x:c r="D9" s="4" t="inlineStr">
        <x:is>
          <x:t xml:space="preserve">Dust, fabric transfer, shelf scuffs</x:t>
        </x:is>
      </x:c>
      <x:c r="E9" s="4" t="inlineStr">
        <x:is>
          <x:t xml:space="preserve">Musty odor, recurring back-wall spotting, adjacent bathroom wall</x:t>
        </x:is>
      </x:c>
      <x:c r="F9" s="4" t="inlineStr">
        <x:is>
          <x:t xml:space="preserve">Closets can trap moisture because air does not move well.</x:t>
        </x:is>
      </x:c>
      <x:c r="G9" s="4" t="inlineStr">
        <x:is>
          <x:t xml:space="preserve">Low-airflow space with possible condensation or concealed wall-source contribution.</x:t>
        </x:is>
      </x:c>
      <x:c r="H9" s="4" t="inlineStr">
        <x:is>
          <x:t xml:space="preserve">Improve airflow; inspect adjacent wet walls if recurring</x:t>
        </x:is>
      </x:c>
      <x:c r="I9" s="4" t="inlineStr">
        <x:is>
          <x:t xml:space="preserve">Moderate-High</x:t>
        </x:is>
      </x:c>
    </x:row>
    <x:row r="10">
      <x:c r="A10" s="4" t="inlineStr">
        <x:is>
          <x:t xml:space="preserve">Attic</x:t>
        </x:is>
      </x:c>
      <x:c r="B10" s="4" t="inlineStr">
        <x:is>
          <x:t xml:space="preserve">Roof intrusion, duct sweating, poor ventilation</x:t>
        </x:is>
      </x:c>
      <x:c r="C10" s="4" t="inlineStr">
        <x:is>
          <x:t xml:space="preserve">Roof decking, insulation, penetrations, duct boots</x:t>
        </x:is>
      </x:c>
      <x:c r="D10" s="4" t="inlineStr">
        <x:is>
          <x:t xml:space="preserve">Old staining, dirt, wood discoloration not microbial</x:t>
        </x:is>
      </x:c>
      <x:c r="E10" s="4" t="inlineStr">
        <x:is>
          <x:t xml:space="preserve">Fresh staining, wet decking, chronic vent-area growth</x:t>
        </x:is>
      </x:c>
      <x:c r="F10" s="4" t="inlineStr">
        <x:is>
          <x:t xml:space="preserve">Attic staining may relate to roof leaks or ventilation issues.</x:t>
        </x:is>
      </x:c>
      <x:c r="G10" s="4" t="inlineStr">
        <x:is>
          <x:t xml:space="preserve">Differentiate historic staining from active wetting; inspect decking moisture and ventilation balance.</x:t>
        </x:is>
      </x:c>
      <x:c r="H10" s="4" t="inlineStr">
        <x:is>
          <x:t xml:space="preserve">Inspect after rain if possible; check ducts and vents</x:t>
        </x:is>
      </x:c>
      <x:c r="I10" s="4" t="inlineStr">
        <x:is>
          <x:t xml:space="preserve">High</x:t>
        </x:is>
      </x:c>
    </x:row>
    <x:row r="11">
      <x:c r="A11" s="4" t="inlineStr">
        <x:is>
          <x:t xml:space="preserve">Crawlspace</x:t>
        </x:is>
      </x:c>
      <x:c r="B11" s="4" t="inlineStr">
        <x:is>
          <x:t xml:space="preserve">Ground moisture, vapor barrier failure, drainage</x:t>
        </x:is>
      </x:c>
      <x:c r="C11" s="4" t="inlineStr">
        <x:is>
          <x:t xml:space="preserve">Subfloor, joists, insulation, perimeter walls</x:t>
        </x:is>
      </x:c>
      <x:c r="D11" s="4" t="inlineStr">
        <x:is>
          <x:t xml:space="preserve">Soil staining, dirt, construction residue</x:t>
        </x:is>
      </x:c>
      <x:c r="E11" s="4" t="inlineStr">
        <x:is>
          <x:t xml:space="preserve">Musty odor, wood moisture, broad fungal growth pattern</x:t>
        </x:is>
      </x:c>
      <x:c r="F11" s="4" t="inlineStr">
        <x:is>
          <x:t xml:space="preserve">Crawlspaces can hold moisture from the ground for long periods.</x:t>
        </x:is>
      </x:c>
      <x:c r="G11" s="4" t="inlineStr">
        <x:is>
          <x:t xml:space="preserve">Assess vapor control, drainage, ventilation, and structural wood moisture.</x:t>
        </x:is>
      </x:c>
      <x:c r="H11" s="4" t="inlineStr">
        <x:is>
          <x:t xml:space="preserve">Inspect vapor barrier and wood moisture; consider professional crawlspace review</x:t>
        </x:is>
      </x:c>
      <x:c r="I11" s="4" t="inlineStr">
        <x:is>
          <x:t xml:space="preserve">High</x:t>
        </x:is>
      </x:c>
    </x:row>
    <x:row r="12">
      <x:c r="A12" s="4" t="inlineStr">
        <x:is>
          <x:t xml:space="preserve">HVAC / Mechanical</x:t>
        </x:is>
      </x:c>
      <x:c r="B12" s="4" t="inlineStr">
        <x:is>
          <x:t xml:space="preserve">Condensate leaks, drain pan issues, duct insulation</x:t>
        </x:is>
      </x:c>
      <x:c r="C12" s="4" t="inlineStr">
        <x:is>
          <x:t xml:space="preserve">Air handler, drain lines, plenums, nearby drywall</x:t>
        </x:is>
      </x:c>
      <x:c r="D12" s="4" t="inlineStr">
        <x:is>
          <x:t xml:space="preserve">Dust accumulation, rust, normal grime</x:t>
        </x:is>
      </x:c>
      <x:c r="E12" s="4" t="inlineStr">
        <x:is>
          <x:t xml:space="preserve">Repeated vent spotting, pan overflow, line clogs</x:t>
        </x:is>
      </x:c>
      <x:c r="F12" s="4" t="inlineStr">
        <x:is>
          <x:t xml:space="preserve">Mechanical areas can support growth when condensation is not draining correctly.</x:t>
        </x:is>
      </x:c>
      <x:c r="G12" s="4" t="inlineStr">
        <x:is>
          <x:t xml:space="preserve">Evaluate condensate management, insulation, and localized amplification near supply paths.</x:t>
        </x:is>
      </x:c>
      <x:c r="H12" s="4" t="inlineStr">
        <x:is>
          <x:t xml:space="preserve">Inspect drain pan, line, insulation, surrounding surfaces</x:t>
        </x:is>
      </x:c>
      <x:c r="I12" s="4" t="inlineStr">
        <x:is>
          <x:t xml:space="preserve">High</x:t>
        </x:is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0f9689f28cf4f5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4" customWidth="1"/>
    <x:col min="3" max="3" width="14" customWidth="1"/>
    <x:col min="4" max="4" width="16" customWidth="1"/>
    <x:col min="5" max="5" width="12" customWidth="1"/>
    <x:col min="6" max="6" width="24" customWidth="1"/>
    <x:col min="7" max="7" width="28" customWidth="1"/>
    <x:col min="8" max="8" width="28" customWidth="1"/>
    <x:col min="9" max="9" width="24" customWidth="1"/>
  </x:cols>
  <x:sheetData>
    <x:row r="1" ht="22" customHeight="1">
      <x:c r="A1" s="11" t="inlineStr">
        <x:is>
          <x:t xml:space="preserve">Home Health AI – Remediation Decision Framework</x:t>
        </x:is>
      </x:c>
    </x:row>
    <x:row r="2" ht="22" customHeight="1">
      <x:c r="A2" s="12" t="inlineStr">
        <x:is>
          <x:t xml:space="preserve">This framework helps the app distinguish between monitor/clean/escalate pathways. It does not replace a field scope or standard of care.</x:t>
        </x:is>
      </x:c>
    </x:row>
    <x:row r="3"/>
    <x:row r="4" ht="22" customHeight="1">
      <x:c r="A4" s="13" t="inlineStr">
        <x:is>
          <x:t xml:space="preserve">Scenario</x:t>
        </x:is>
      </x:c>
      <x:c r="B4" s="13" t="inlineStr">
        <x:is>
          <x:t xml:space="preserve">Visual Severity</x:t>
        </x:is>
      </x:c>
      <x:c r="C4" s="13" t="inlineStr">
        <x:is>
          <x:t xml:space="preserve">Substrate Type</x:t>
        </x:is>
      </x:c>
      <x:c r="D4" s="13" t="inlineStr">
        <x:is>
          <x:t xml:space="preserve">Moisture Status</x:t>
        </x:is>
      </x:c>
      <x:c r="E4" s="13" t="inlineStr">
        <x:is>
          <x:t xml:space="preserve">Recurrence</x:t>
        </x:is>
      </x:c>
      <x:c r="F4" s="13" t="inlineStr">
        <x:is>
          <x:t xml:space="preserve">Suggested Path</x:t>
        </x:is>
      </x:c>
      <x:c r="G4" s="13" t="inlineStr">
        <x:is>
          <x:t xml:space="preserve">Homeowner Message</x:t>
        </x:is>
      </x:c>
      <x:c r="H4" s="13" t="inlineStr">
        <x:is>
          <x:t xml:space="preserve">Professional Message</x:t>
        </x:is>
      </x:c>
      <x:c r="I4" s="13" t="inlineStr">
        <x:is>
          <x:t xml:space="preserve">Notes / Limits</x:t>
        </x:is>
      </x:c>
    </x:row>
    <x:row r="5">
      <x:c r="A5" s="4" t="inlineStr">
        <x:is>
          <x:t xml:space="preserve">Light spotting on hard surface only</x:t>
        </x:is>
      </x:c>
      <x:c r="B5" s="4" t="inlineStr">
        <x:is>
          <x:t xml:space="preserve">Low</x:t>
        </x:is>
      </x:c>
      <x:c r="C5" s="4" t="inlineStr">
        <x:is>
          <x:t xml:space="preserve">Non-porous with residue</x:t>
        </x:is>
      </x:c>
      <x:c r="D5" s="4" t="inlineStr">
        <x:is>
          <x:t xml:space="preserve">No active wetness visible</x:t>
        </x:is>
      </x:c>
      <x:c r="E5" s="4" t="inlineStr">
        <x:is>
          <x:t xml:space="preserve">No</x:t>
        </x:is>
      </x:c>
      <x:c r="F5" s="4" t="inlineStr">
        <x:is>
          <x:t xml:space="preserve">Clean + monitor</x:t>
        </x:is>
      </x:c>
      <x:c r="G5" s="4" t="inlineStr">
        <x:is>
          <x:t xml:space="preserve">Clean the surface thoroughly and watch for return after moisture is controlled.</x:t>
        </x:is>
      </x:c>
      <x:c r="H5" s="4" t="inlineStr">
        <x:is>
          <x:t xml:space="preserve">Likely residue-supported growth; confirm no hidden moisture.</x:t>
        </x:is>
      </x:c>
      <x:c r="I5" s="4" t="inlineStr">
        <x:is>
          <x:t xml:space="preserve">Do not imply substrate colonization from image alone.</x:t>
        </x:is>
      </x:c>
    </x:row>
    <x:row r="6">
      <x:c r="A6" s="4" t="inlineStr">
        <x:is>
          <x:t xml:space="preserve">Localized spotting on porous material</x:t>
        </x:is>
      </x:c>
      <x:c r="B6" s="4" t="inlineStr">
        <x:is>
          <x:t xml:space="preserve">Moderate</x:t>
        </x:is>
      </x:c>
      <x:c r="C6" s="4" t="inlineStr">
        <x:is>
          <x:t xml:space="preserve">Porous</x:t>
        </x:is>
      </x:c>
      <x:c r="D6" s="4" t="inlineStr">
        <x:is>
          <x:t xml:space="preserve">Possible or prior wetness</x:t>
        </x:is>
      </x:c>
      <x:c r="E6" s="4" t="inlineStr">
        <x:is>
          <x:t xml:space="preserve">Unknown</x:t>
        </x:is>
      </x:c>
      <x:c r="F6" s="4" t="inlineStr">
        <x:is>
          <x:t xml:space="preserve">Targeted inspection</x:t>
        </x:is>
      </x:c>
      <x:c r="G6" s="4" t="inlineStr">
        <x:is>
          <x:t xml:space="preserve">Visible patterns may reflect active growth on an absorbent material. A closer inspection is recommended.</x:t>
        </x:is>
      </x:c>
      <x:c r="H6" s="4" t="inlineStr">
        <x:is>
          <x:t xml:space="preserve">Possible active colonization on porous substrate; inspect source and extent.</x:t>
        </x:is>
      </x:c>
      <x:c r="I6" s="4" t="inlineStr">
        <x:is>
          <x:t xml:space="preserve">Porous materials raise concern even with small visible area.</x:t>
        </x:is>
      </x:c>
    </x:row>
    <x:row r="7">
      <x:c r="A7" s="4" t="inlineStr">
        <x:is>
          <x:t xml:space="preserve">Recurring growth after cleaning</x:t>
        </x:is>
      </x:c>
      <x:c r="B7" s="4" t="inlineStr">
        <x:is>
          <x:t xml:space="preserve">Moderate-High</x:t>
        </x:is>
      </x:c>
      <x:c r="C7" s="4" t="inlineStr">
        <x:is>
          <x:t xml:space="preserve">Any</x:t>
        </x:is>
      </x:c>
      <x:c r="D7" s="4" t="inlineStr">
        <x:is>
          <x:t xml:space="preserve">Likely ongoing</x:t>
        </x:is>
      </x:c>
      <x:c r="E7" s="4" t="inlineStr">
        <x:is>
          <x:t xml:space="preserve">Yes</x:t>
        </x:is>
      </x:c>
      <x:c r="F7" s="4" t="inlineStr">
        <x:is>
          <x:t xml:space="preserve">Escalate to source investigation</x:t>
        </x:is>
      </x:c>
      <x:c r="G7" s="4" t="inlineStr">
        <x:is>
          <x:t xml:space="preserve">Because the issue keeps returning, the moisture source may still be present.</x:t>
        </x:is>
      </x:c>
      <x:c r="H7" s="4" t="inlineStr">
        <x:is>
          <x:t xml:space="preserve">Recurrence suggests unresolved moisture and possible concealed growth.</x:t>
        </x:is>
      </x:c>
      <x:c r="I7" s="4" t="inlineStr">
        <x:is>
          <x:t xml:space="preserve">Recurrence should materially raise model concern.</x:t>
        </x:is>
      </x:c>
    </x:row>
    <x:row r="8">
      <x:c r="A8" s="4" t="inlineStr">
        <x:is>
          <x:t xml:space="preserve">Widespread growth + moisture evidence</x:t>
        </x:is>
      </x:c>
      <x:c r="B8" s="4" t="inlineStr">
        <x:is>
          <x:t xml:space="preserve">High</x:t>
        </x:is>
      </x:c>
      <x:c r="C8" s="4" t="inlineStr">
        <x:is>
          <x:t xml:space="preserve">Porous or mixed</x:t>
        </x:is>
      </x:c>
      <x:c r="D8" s="4" t="inlineStr">
        <x:is>
          <x:t xml:space="preserve">Active or likely active</x:t>
        </x:is>
      </x:c>
      <x:c r="E8" s="4" t="inlineStr">
        <x:is>
          <x:t xml:space="preserve">Yes/Unknown</x:t>
        </x:is>
      </x:c>
      <x:c r="F8" s="4" t="inlineStr">
        <x:is>
          <x:t xml:space="preserve">Professional inspection / remediation-oriented pathway</x:t>
        </x:is>
      </x:c>
      <x:c r="G8" s="4" t="inlineStr">
        <x:is>
          <x:t xml:space="preserve">Multiple signs suggest a larger moisture-related issue that should be inspected promptly.</x:t>
        </x:is>
      </x:c>
      <x:c r="H8" s="4" t="inlineStr">
        <x:is>
          <x:t xml:space="preserve">Combined indicators raise concern for active amplification and remediation scoping.</x:t>
        </x:is>
      </x:c>
      <x:c r="I8" s="4" t="inlineStr">
        <x:is>
          <x:t xml:space="preserve">Avoid exact square-foot claims from image alone.</x:t>
        </x:is>
      </x:c>
    </x:row>
    <x:row r="9">
      <x:c r="A9" s="4" t="inlineStr">
        <x:is>
          <x:t xml:space="preserve">Historic stain without current texture</x:t>
        </x:is>
      </x:c>
      <x:c r="B9" s="4" t="inlineStr">
        <x:is>
          <x:t xml:space="preserve">Low-Moderate</x:t>
        </x:is>
      </x:c>
      <x:c r="C9" s="4" t="inlineStr">
        <x:is>
          <x:t xml:space="preserve">Any</x:t>
        </x:is>
      </x:c>
      <x:c r="D9" s="4" t="inlineStr">
        <x:is>
          <x:t xml:space="preserve">No clear active wetness</x:t>
        </x:is>
      </x:c>
      <x:c r="E9" s="4" t="inlineStr">
        <x:is>
          <x:t xml:space="preserve">No</x:t>
        </x:is>
      </x:c>
      <x:c r="F9" s="4" t="inlineStr">
        <x:is>
          <x:t xml:space="preserve">Monitor / verify history</x:t>
        </x:is>
      </x:c>
      <x:c r="G9" s="4" t="inlineStr">
        <x:is>
          <x:t xml:space="preserve">This may be older staining, but the area should be watched for changes or dampness.</x:t>
        </x:is>
      </x:c>
      <x:c r="H9" s="4" t="inlineStr">
        <x:is>
          <x:t xml:space="preserve">Historic impact possible; verify no current wetting or active colonization.</x:t>
        </x:is>
      </x:c>
      <x:c r="I9" s="4" t="inlineStr">
        <x:is>
          <x:t xml:space="preserve">Encourage follow-up images and history questions.</x:t>
        </x:is>
      </x:c>
    </x:row>
    <x:row r="10">
      <x:c r="A10" s="4" t="inlineStr">
        <x:is>
          <x:t xml:space="preserve">HVAC vent spotting with condensation signs</x:t>
        </x:is>
      </x:c>
      <x:c r="B10" s="4" t="inlineStr">
        <x:is>
          <x:t xml:space="preserve">Moderate-High</x:t>
        </x:is>
      </x:c>
      <x:c r="C10" s="4" t="inlineStr">
        <x:is>
          <x:t xml:space="preserve">Mixed</x:t>
        </x:is>
      </x:c>
      <x:c r="D10" s="4" t="inlineStr">
        <x:is>
          <x:t xml:space="preserve">Likely active condensation</x:t>
        </x:is>
      </x:c>
      <x:c r="E10" s="4" t="inlineStr">
        <x:is>
          <x:t xml:space="preserve">Often recurring</x:t>
        </x:is>
      </x:c>
      <x:c r="F10" s="4" t="inlineStr">
        <x:is>
          <x:t xml:space="preserve">Inspect mechanical source</x:t>
        </x:is>
      </x:c>
      <x:c r="G10" s="4" t="inlineStr">
        <x:is>
          <x:t xml:space="preserve">This pattern may be related to condensation around the HVAC system.</x:t>
        </x:is>
      </x:c>
      <x:c r="H10" s="4" t="inlineStr">
        <x:is>
          <x:t xml:space="preserve">Evaluate drain, insulation, register boot, and nearby moisture conditions.</x:t>
        </x:is>
      </x:c>
      <x:c r="I10" s="4" t="inlineStr">
        <x:is>
          <x:t xml:space="preserve">Mechanical review often more important than surface cleaning alone.</x:t>
        </x:is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0357e03722e46e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28" customWidth="1"/>
    <x:col min="4" max="4" width="22" customWidth="1"/>
    <x:col min="5" max="5" width="20" customWidth="1"/>
    <x:col min="6" max="6" width="10" customWidth="1"/>
    <x:col min="7" max="7" width="14" customWidth="1"/>
    <x:col min="8" max="8" width="12" customWidth="1"/>
    <x:col min="9" max="9" width="20" customWidth="1"/>
    <x:col min="10" max="10" width="18" customWidth="1"/>
  </x:cols>
  <x:sheetData>
    <x:row r="1" ht="22" customHeight="1">
      <x:c r="A1" s="11" t="inlineStr">
        <x:is>
          <x:t xml:space="preserve">Home Health AI – Image Label Taxonomy</x:t>
        </x:is>
      </x:c>
    </x:row>
    <x:row r="2" ht="22" customHeight="1">
      <x:c r="A2" s="12" t="inlineStr">
        <x:is>
          <x:t xml:space="preserve">Use consistent labels for training images so the model can learn visual features, room context, substrate logic, and recommendation pathways.</x:t>
        </x:is>
      </x:c>
    </x:row>
    <x:row r="3"/>
    <x:row r="4" ht="22" customHeight="1">
      <x:c r="A4" s="13" t="inlineStr">
        <x:is>
          <x:t xml:space="preserve">Label Group</x:t>
        </x:is>
      </x:c>
      <x:c r="B4" s="13" t="inlineStr">
        <x:is>
          <x:t xml:space="preserve">Field Name</x:t>
        </x:is>
      </x:c>
      <x:c r="C4" s="13" t="inlineStr">
        <x:is>
          <x:t xml:space="preserve">Allowed Values / Examples</x:t>
        </x:is>
      </x:c>
      <x:c r="D4" s="13" t="inlineStr">
        <x:is>
          <x:t xml:space="preserve">Purpose</x:t>
        </x:is>
      </x:c>
      <x:c r="E4" s="13" t="inlineStr">
        <x:is>
          <x:t xml:space="preserve">Example Annotation</x:t>
        </x:is>
      </x:c>
      <x:c r="F4" s="13" t="inlineStr">
        <x:is>
          <x:t xml:space="preserve">Data Type</x:t>
        </x:is>
      </x:c>
      <x:c r="G4" s="13" t="inlineStr">
        <x:is>
          <x:t xml:space="preserve">Input or Derived</x:t>
        </x:is>
      </x:c>
      <x:c r="H4" s="13" t="inlineStr">
        <x:is>
          <x:t xml:space="preserve">AI Relevance</x:t>
        </x:is>
      </x:c>
      <x:c r="I4" s="13" t="inlineStr">
        <x:is>
          <x:t xml:space="preserve">Review Note</x:t>
        </x:is>
      </x:c>
      <x:c r="J4" s="13" t="inlineStr">
        <x:is>
          <x:t xml:space="preserve">Source / Context</x:t>
        </x:is>
      </x:c>
    </x:row>
    <x:row r="5">
      <x:c r="A5" s="4" t="inlineStr">
        <x:is>
          <x:t xml:space="preserve">Image metadata</x:t>
        </x:is>
      </x:c>
      <x:c r="B5" s="4" t="inlineStr">
        <x:is>
          <x:t xml:space="preserve">image_id</x:t>
        </x:is>
      </x:c>
      <x:c r="C5" s="4" t="inlineStr">
        <x:is>
          <x:t xml:space="preserve">unique file ID</x:t>
        </x:is>
      </x:c>
      <x:c r="D5" s="4" t="inlineStr">
        <x:is>
          <x:t xml:space="preserve">Track image across model pipeline</x:t>
        </x:is>
      </x:c>
      <x:c r="E5" s="4" t="inlineStr">
        <x:is>
          <x:t xml:space="preserve">IMG_000123</x:t>
        </x:is>
      </x:c>
      <x:c r="F5" s="4" t="inlineStr">
        <x:is>
          <x:t xml:space="preserve">Text</x:t>
        </x:is>
      </x:c>
      <x:c r="G5" s="4" t="inlineStr">
        <x:is>
          <x:t xml:space="preserve">Input</x:t>
        </x:is>
      </x:c>
      <x:c r="H5" s="4" t="inlineStr">
        <x:is>
          <x:t xml:space="preserve">High</x:t>
        </x:is>
      </x:c>
      <x:c r="I5" s="4" t="inlineStr">
        <x:is>
          <x:t xml:space="preserve">Required for joins</x:t>
        </x:is>
      </x:c>
      <x:c r="J5" s="4" t="inlineStr">
        <x:is>
          <x:t xml:space="preserve">upload system</x:t>
        </x:is>
      </x:c>
    </x:row>
    <x:row r="6">
      <x:c r="A6" s="4" t="inlineStr">
        <x:is>
          <x:t xml:space="preserve">Scene context</x:t>
        </x:is>
      </x:c>
      <x:c r="B6" s="4" t="inlineStr">
        <x:is>
          <x:t xml:space="preserve">room_type</x:t>
        </x:is>
      </x:c>
      <x:c r="C6" s="4" t="inlineStr">
        <x:is>
          <x:t xml:space="preserve">bathroom, kitchen, attic, crawlspace, closet, bedroom, laundry, hvac</x:t>
        </x:is>
      </x:c>
      <x:c r="D6" s="4" t="inlineStr">
        <x:is>
          <x:t xml:space="preserve">Add environmental context</x:t>
        </x:is>
      </x:c>
      <x:c r="E6" s="4" t="inlineStr">
        <x:is>
          <x:t xml:space="preserve">bathroom</x:t>
        </x:is>
      </x:c>
      <x:c r="F6" s="4" t="inlineStr">
        <x:is>
          <x:t xml:space="preserve">Categorical</x:t>
        </x:is>
      </x:c>
      <x:c r="G6" s="4" t="inlineStr">
        <x:is>
          <x:t xml:space="preserve">Input</x:t>
        </x:is>
      </x:c>
      <x:c r="H6" s="4" t="inlineStr">
        <x:is>
          <x:t xml:space="preserve">High</x:t>
        </x:is>
      </x:c>
      <x:c r="I6" s="4" t="inlineStr">
        <x:is>
          <x:t xml:space="preserve">Use controlled list</x:t>
        </x:is>
      </x:c>
      <x:c r="J6" s="4" t="inlineStr">
        <x:is>
          <x:t xml:space="preserve">annotator</x:t>
        </x:is>
      </x:c>
    </x:row>
    <x:row r="7">
      <x:c r="A7" s="4" t="inlineStr">
        <x:is>
          <x:t xml:space="preserve">Substrate</x:t>
        </x:is>
      </x:c>
      <x:c r="B7" s="4" t="inlineStr">
        <x:is>
          <x:t xml:space="preserve">surface_type</x:t>
        </x:is>
      </x:c>
      <x:c r="C7" s="4" t="inlineStr">
        <x:is>
          <x:t xml:space="preserve">drywall, wood, carpet, insulation, tile, metal, glass, plastic</x:t>
        </x:is>
      </x:c>
      <x:c r="D7" s="4" t="inlineStr">
        <x:is>
          <x:t xml:space="preserve">Apply porous vs non-porous logic</x:t>
        </x:is>
      </x:c>
      <x:c r="E7" s="4" t="inlineStr">
        <x:is>
          <x:t xml:space="preserve">drywall</x:t>
        </x:is>
      </x:c>
      <x:c r="F7" s="4" t="inlineStr">
        <x:is>
          <x:t xml:space="preserve">Categorical</x:t>
        </x:is>
      </x:c>
      <x:c r="G7" s="4" t="inlineStr">
        <x:is>
          <x:t xml:space="preserve">Input</x:t>
        </x:is>
      </x:c>
      <x:c r="H7" s="4" t="inlineStr">
        <x:is>
          <x:t xml:space="preserve">High</x:t>
        </x:is>
      </x:c>
      <x:c r="I7" s="4" t="inlineStr">
        <x:is>
          <x:t xml:space="preserve">Controlled vocabulary</x:t>
        </x:is>
      </x:c>
      <x:c r="J7" s="4" t="inlineStr">
        <x:is>
          <x:t xml:space="preserve">annotator</x:t>
        </x:is>
      </x:c>
    </x:row>
    <x:row r="8">
      <x:c r="A8" s="4" t="inlineStr">
        <x:is>
          <x:t xml:space="preserve">Moisture signal</x:t>
        </x:is>
      </x:c>
      <x:c r="B8" s="4" t="inlineStr">
        <x:is>
          <x:t xml:space="preserve">moisture_visible</x:t>
        </x:is>
      </x:c>
      <x:c r="C8" s="4" t="inlineStr">
        <x:is>
          <x:t xml:space="preserve">0/1</x:t>
        </x:is>
      </x:c>
      <x:c r="D8" s="4" t="inlineStr">
        <x:is>
          <x:t xml:space="preserve">Flag visible wetness or sheen</x:t>
        </x:is>
      </x:c>
      <x:c r="E8" s="4" t="inlineStr">
        <x:is>
          <x:t xml:space="preserve">1</x:t>
        </x:is>
      </x:c>
      <x:c r="F8" s="4" t="inlineStr">
        <x:is>
          <x:t xml:space="preserve">Binary</x:t>
        </x:is>
      </x:c>
      <x:c r="G8" s="4" t="inlineStr">
        <x:is>
          <x:t xml:space="preserve">Input</x:t>
        </x:is>
      </x:c>
      <x:c r="H8" s="4" t="inlineStr">
        <x:is>
          <x:t xml:space="preserve">High</x:t>
        </x:is>
      </x:c>
      <x:c r="I8" s="4" t="inlineStr">
        <x:is>
          <x:t xml:space="preserve">Needs image evidence</x:t>
        </x:is>
      </x:c>
      <x:c r="J8" s="4" t="inlineStr">
        <x:is>
          <x:t xml:space="preserve">annotator</x:t>
        </x:is>
      </x:c>
    </x:row>
    <x:row r="9">
      <x:c r="A9" s="4" t="inlineStr">
        <x:is>
          <x:t xml:space="preserve">Visual feature</x:t>
        </x:is>
      </x:c>
      <x:c r="B9" s="4" t="inlineStr">
        <x:is>
          <x:t xml:space="preserve">texture_type</x:t>
        </x:is>
      </x:c>
      <x:c r="C9" s="4" t="inlineStr">
        <x:is>
          <x:t xml:space="preserve">fuzzy, powdery, slimy, dust-like, none</x:t>
        </x:is>
      </x:c>
      <x:c r="D9" s="4" t="inlineStr">
        <x:is>
          <x:t xml:space="preserve">Help classify colony type</x:t>
        </x:is>
      </x:c>
      <x:c r="E9" s="4" t="inlineStr">
        <x:is>
          <x:t xml:space="preserve">fuzzy</x:t>
        </x:is>
      </x:c>
      <x:c r="F9" s="4" t="inlineStr">
        <x:is>
          <x:t xml:space="preserve">Categorical</x:t>
        </x:is>
      </x:c>
      <x:c r="G9" s="4" t="inlineStr">
        <x:is>
          <x:t xml:space="preserve">Input</x:t>
        </x:is>
      </x:c>
      <x:c r="H9" s="4" t="inlineStr">
        <x:is>
          <x:t xml:space="preserve">High</x:t>
        </x:is>
      </x:c>
      <x:c r="I9" s="4" t="inlineStr">
        <x:is>
          <x:t xml:space="preserve">Use best-fit single label if needed</x:t>
        </x:is>
      </x:c>
      <x:c r="J9" s="4" t="inlineStr">
        <x:is>
          <x:t xml:space="preserve">annotator</x:t>
        </x:is>
      </x:c>
    </x:row>
    <x:row r="10">
      <x:c r="A10" s="4" t="inlineStr">
        <x:is>
          <x:t xml:space="preserve">Visual feature</x:t>
        </x:is>
      </x:c>
      <x:c r="B10" s="4" t="inlineStr">
        <x:is>
          <x:t xml:space="preserve">edge_pattern</x:t>
        </x:is>
      </x:c>
      <x:c r="C10" s="4" t="inlineStr">
        <x:is>
          <x:t xml:space="preserve">circular, diffuse, irregular, linear, speckled</x:t>
        </x:is>
      </x:c>
      <x:c r="D10" s="4" t="inlineStr">
        <x:is>
          <x:t xml:space="preserve">Describe growth geometry</x:t>
        </x:is>
      </x:c>
      <x:c r="E10" s="4" t="inlineStr">
        <x:is>
          <x:t xml:space="preserve">irregular</x:t>
        </x:is>
      </x:c>
      <x:c r="F10" s="4" t="inlineStr">
        <x:is>
          <x:t xml:space="preserve">Categorical</x:t>
        </x:is>
      </x:c>
      <x:c r="G10" s="4" t="inlineStr">
        <x:is>
          <x:t xml:space="preserve">Input</x:t>
        </x:is>
      </x:c>
      <x:c r="H10" s="4" t="inlineStr">
        <x:is>
          <x:t xml:space="preserve">High</x:t>
        </x:is>
      </x:c>
      <x:c r="I10" s="4" t="inlineStr">
        <x:is>
          <x:t xml:space="preserve">Can be multi-label in future</x:t>
        </x:is>
      </x:c>
      <x:c r="J10" s="4" t="inlineStr">
        <x:is>
          <x:t xml:space="preserve">annotator</x:t>
        </x:is>
      </x:c>
    </x:row>
    <x:row r="11">
      <x:c r="A11" s="4" t="inlineStr">
        <x:is>
          <x:t xml:space="preserve">Visual feature</x:t>
        </x:is>
      </x:c>
      <x:c r="B11" s="4" t="inlineStr">
        <x:is>
          <x:t xml:space="preserve">color_profile</x:t>
        </x:is>
      </x:c>
      <x:c r="C11" s="4" t="inlineStr">
        <x:is>
          <x:t xml:space="preserve">black, green, brown, gray, white, yellow, mixed</x:t>
        </x:is>
      </x:c>
      <x:c r="D11" s="4" t="inlineStr">
        <x:is>
          <x:t xml:space="preserve">Support CV learning</x:t>
        </x:is>
      </x:c>
      <x:c r="E11" s="4" t="inlineStr">
        <x:is>
          <x:t xml:space="preserve">mixed</x:t>
        </x:is>
      </x:c>
      <x:c r="F11" s="4" t="inlineStr">
        <x:is>
          <x:t xml:space="preserve">Categorical</x:t>
        </x:is>
      </x:c>
      <x:c r="G11" s="4" t="inlineStr">
        <x:is>
          <x:t xml:space="preserve">Input</x:t>
        </x:is>
      </x:c>
      <x:c r="H11" s="4" t="inlineStr">
        <x:is>
          <x:t xml:space="preserve">Medium-High</x:t>
        </x:is>
      </x:c>
      <x:c r="I11" s="4" t="inlineStr">
        <x:is>
          <x:t xml:space="preserve">Use dominant visible colors</x:t>
        </x:is>
      </x:c>
      <x:c r="J11" s="4" t="inlineStr">
        <x:is>
          <x:t xml:space="preserve">annotator</x:t>
        </x:is>
      </x:c>
    </x:row>
    <x:row r="12">
      <x:c r="A12" s="4" t="inlineStr">
        <x:is>
          <x:t xml:space="preserve">Coverage</x:t>
        </x:is>
      </x:c>
      <x:c r="B12" s="4" t="inlineStr">
        <x:is>
          <x:t xml:space="preserve">coverage_band</x:t>
        </x:is>
      </x:c>
      <x:c r="C12" s="4" t="inlineStr">
        <x:is>
          <x:t xml:space="preserve">trace, small, moderate, broad</x:t>
        </x:is>
      </x:c>
      <x:c r="D12" s="4" t="inlineStr">
        <x:is>
          <x:t xml:space="preserve">Approximate severity without exact area claim</x:t>
        </x:is>
      </x:c>
      <x:c r="E12" s="4" t="inlineStr">
        <x:is>
          <x:t xml:space="preserve">small</x:t>
        </x:is>
      </x:c>
      <x:c r="F12" s="4" t="inlineStr">
        <x:is>
          <x:t xml:space="preserve">Ordinal</x:t>
        </x:is>
      </x:c>
      <x:c r="G12" s="4" t="inlineStr">
        <x:is>
          <x:t xml:space="preserve">Derived</x:t>
        </x:is>
      </x:c>
      <x:c r="H12" s="4" t="inlineStr">
        <x:is>
          <x:t xml:space="preserve">Medium</x:t>
        </x:is>
      </x:c>
      <x:c r="I12" s="4" t="inlineStr">
        <x:is>
          <x:t xml:space="preserve">Avoid exact sqft from image</x:t>
        </x:is>
      </x:c>
      <x:c r="J12" s="4" t="inlineStr">
        <x:is>
          <x:t xml:space="preserve">model/annotator</x:t>
        </x:is>
      </x:c>
    </x:row>
    <x:row r="13">
      <x:c r="A13" s="4" t="inlineStr">
        <x:is>
          <x:t xml:space="preserve">Source inference</x:t>
        </x:is>
      </x:c>
      <x:c r="B13" s="4" t="inlineStr">
        <x:is>
          <x:t xml:space="preserve">likely_source</x:t>
        </x:is>
      </x:c>
      <x:c r="C13" s="4" t="inlineStr">
        <x:is>
          <x:t xml:space="preserve">plumbing, roof, hvac, condensation, crawlspace, unknown</x:t>
        </x:is>
      </x:c>
      <x:c r="D13" s="4" t="inlineStr">
        <x:is>
          <x:t xml:space="preserve">Connect image to probable moisture cause</x:t>
        </x:is>
      </x:c>
      <x:c r="E13" s="4" t="inlineStr">
        <x:is>
          <x:t xml:space="preserve">condensation</x:t>
        </x:is>
      </x:c>
      <x:c r="F13" s="4" t="inlineStr">
        <x:is>
          <x:t xml:space="preserve">Categorical</x:t>
        </x:is>
      </x:c>
      <x:c r="G13" s="4" t="inlineStr">
        <x:is>
          <x:t xml:space="preserve">Derived</x:t>
        </x:is>
      </x:c>
      <x:c r="H13" s="4" t="inlineStr">
        <x:is>
          <x:t xml:space="preserve">High</x:t>
        </x:is>
      </x:c>
      <x:c r="I13" s="4" t="inlineStr">
        <x:is>
          <x:t xml:space="preserve">Inference only, not certainty</x:t>
        </x:is>
      </x:c>
      <x:c r="J13" s="4" t="inlineStr">
        <x:is>
          <x:t xml:space="preserve">model</x:t>
        </x:is>
      </x:c>
    </x:row>
    <x:row r="14">
      <x:c r="A14" s="4" t="inlineStr">
        <x:is>
          <x:t xml:space="preserve">App output</x:t>
        </x:is>
      </x:c>
      <x:c r="B14" s="4" t="inlineStr">
        <x:is>
          <x:t xml:space="preserve">risk_band</x:t>
        </x:is>
      </x:c>
      <x:c r="C14" s="4" t="inlineStr">
        <x:is>
          <x:t xml:space="preserve">low, guarded, moderate, elevated, high</x:t>
        </x:is>
      </x:c>
      <x:c r="D14" s="4" t="inlineStr">
        <x:is>
          <x:t xml:space="preserve">Standardize response language</x:t>
        </x:is>
      </x:c>
      <x:c r="E14" s="4" t="inlineStr">
        <x:is>
          <x:t xml:space="preserve">moderate</x:t>
        </x:is>
      </x:c>
      <x:c r="F14" s="4" t="inlineStr">
        <x:is>
          <x:t xml:space="preserve">Ordinal</x:t>
        </x:is>
      </x:c>
      <x:c r="G14" s="4" t="inlineStr">
        <x:is>
          <x:t xml:space="preserve">Derived</x:t>
        </x:is>
      </x:c>
      <x:c r="H14" s="4" t="inlineStr">
        <x:is>
          <x:t xml:space="preserve">High</x:t>
        </x:is>
      </x:c>
      <x:c r="I14" s="4" t="inlineStr">
        <x:is>
          <x:t xml:space="preserve">Should align with scoring sheet</x:t>
        </x:is>
      </x:c>
      <x:c r="J14" s="4" t="inlineStr">
        <x:is>
          <x:t xml:space="preserve">model</x:t>
        </x:is>
      </x:c>
    </x:row>
    <x:row r="15">
      <x:c r="A15" s="4" t="inlineStr">
        <x:is>
          <x:t xml:space="preserve">App output</x:t>
        </x:is>
      </x:c>
      <x:c r="B15" s="4" t="inlineStr">
        <x:is>
          <x:t xml:space="preserve">next_step</x:t>
        </x:is>
      </x:c>
      <x:c r="C15" s="4" t="inlineStr">
        <x:is>
          <x:t xml:space="preserve">monitor, clean, inspect, escalate</x:t>
        </x:is>
      </x:c>
      <x:c r="D15" s="4" t="inlineStr">
        <x:is>
          <x:t xml:space="preserve">Power workflow and CTA</x:t>
        </x:is>
      </x:c>
      <x:c r="E15" s="4" t="inlineStr">
        <x:is>
          <x:t xml:space="preserve">inspect</x:t>
        </x:is>
      </x:c>
      <x:c r="F15" s="4" t="inlineStr">
        <x:is>
          <x:t xml:space="preserve">Categorical</x:t>
        </x:is>
      </x:c>
      <x:c r="G15" s="4" t="inlineStr">
        <x:is>
          <x:t xml:space="preserve">Derived</x:t>
        </x:is>
      </x:c>
      <x:c r="H15" s="4" t="inlineStr">
        <x:is>
          <x:t xml:space="preserve">High</x:t>
        </x:is>
      </x:c>
      <x:c r="I15" s="4" t="inlineStr">
        <x:is>
          <x:t xml:space="preserve">Map to decision tree</x:t>
        </x:is>
      </x:c>
      <x:c r="J15" s="4" t="inlineStr">
        <x:is>
          <x:t xml:space="preserve">model</x:t>
        </x:is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e2f2dd72a05415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4" customWidth="1"/>
    <x:col min="4" max="4" width="18" customWidth="1"/>
    <x:col min="5" max="5" width="14" customWidth="1"/>
    <x:col min="6" max="6" width="14" customWidth="1"/>
    <x:col min="7" max="7" width="14" customWidth="1"/>
    <x:col min="8" max="8" width="18" customWidth="1"/>
    <x:col min="9" max="9" width="18" customWidth="1"/>
    <x:col min="10" max="10" width="14" customWidth="1"/>
    <x:col min="11" max="11" width="20" customWidth="1"/>
    <x:col min="12" max="12" width="20" customWidth="1"/>
  </x:cols>
  <x:sheetData>
    <x:row r="1" ht="22" customHeight="1">
      <x:c r="A1" s="11" t="inlineStr">
        <x:is>
          <x:t xml:space="preserve">Home Health AI – Training Annotation Template</x:t>
        </x:is>
      </x:c>
    </x:row>
    <x:row r="2" ht="22" customHeight="1">
      <x:c r="A2" s="12" t="inlineStr">
        <x:is>
          <x:t xml:space="preserve">Fill blue cells for each training image. Derived columns calculate basic flags and route toward app output classes.</x:t>
        </x:is>
      </x:c>
    </x:row>
    <x:row r="3"/>
    <x:row r="4" ht="22" customHeight="1">
      <x:c r="A4" s="13" t="inlineStr">
        <x:is>
          <x:t xml:space="preserve">image_id</x:t>
        </x:is>
      </x:c>
      <x:c r="B4" s="13" t="inlineStr">
        <x:is>
          <x:t xml:space="preserve">room_type</x:t>
        </x:is>
      </x:c>
      <x:c r="C4" s="13" t="inlineStr">
        <x:is>
          <x:t xml:space="preserve">surface_type</x:t>
        </x:is>
      </x:c>
      <x:c r="D4" s="13" t="inlineStr">
        <x:is>
          <x:t xml:space="preserve">moisture_visible (0/1)</x:t>
        </x:is>
      </x:c>
      <x:c r="E4" s="13" t="inlineStr">
        <x:is>
          <x:t xml:space="preserve">texture_type</x:t>
        </x:is>
      </x:c>
      <x:c r="F4" s="13" t="inlineStr">
        <x:is>
          <x:t xml:space="preserve">edge_pattern</x:t>
        </x:is>
      </x:c>
      <x:c r="G4" s="13" t="inlineStr">
        <x:is>
          <x:t xml:space="preserve">color_profile</x:t>
        </x:is>
      </x:c>
      <x:c r="H4" s="13" t="inlineStr">
        <x:is>
          <x:t xml:space="preserve">recurring_issue (0/1)</x:t>
        </x:is>
      </x:c>
      <x:c r="I4" s="13" t="inlineStr">
        <x:is>
          <x:t xml:space="preserve">odor_reported (0/1)</x:t>
        </x:is>
      </x:c>
      <x:c r="J4" s="13" t="inlineStr">
        <x:is>
          <x:t xml:space="preserve">likely_source</x:t>
        </x:is>
      </x:c>
      <x:c r="K4" s="13" t="inlineStr">
        <x:is>
          <x:t xml:space="preserve">derived_substrate_flag</x:t>
        </x:is>
      </x:c>
      <x:c r="L4" s="13" t="inlineStr">
        <x:is>
          <x:t xml:space="preserve">derived_attention_flag</x:t>
        </x:is>
      </x:c>
    </x:row>
    <x:row r="5">
      <x:c r="A5" s="22" t="inlineStr">
        <x:is>
          <x:t xml:space="preserve">IMG_001</x:t>
        </x:is>
      </x:c>
      <x:c r="B5" s="22" t="inlineStr">
        <x:is>
          <x:t xml:space="preserve">bathroom</x:t>
        </x:is>
      </x:c>
      <x:c r="C5" s="22" t="inlineStr">
        <x:is>
          <x:t xml:space="preserve">tile</x:t>
        </x:is>
      </x:c>
      <x:c r="D5" s="22" t="n">
        <x:v>1</x:v>
      </x:c>
      <x:c r="E5" s="22" t="inlineStr">
        <x:is>
          <x:t xml:space="preserve">speckled</x:t>
        </x:is>
      </x:c>
      <x:c r="F5" s="22" t="inlineStr">
        <x:is>
          <x:t xml:space="preserve">diffuse</x:t>
        </x:is>
      </x:c>
      <x:c r="G5" s="22" t="inlineStr">
        <x:is>
          <x:t xml:space="preserve">black</x:t>
        </x:is>
      </x:c>
      <x:c r="H5" s="22" t="n">
        <x:v>0</x:v>
      </x:c>
      <x:c r="I5" s="22" t="n">
        <x:v>0</x:v>
      </x:c>
      <x:c r="J5" s="22" t="inlineStr">
        <x:is>
          <x:t xml:space="preserve">condensation</x:t>
        </x:is>
      </x:c>
      <x:c r="K5" s="23">
        <x:f>IF(OR(C5="drywall",C5="wood",C5="carpet",C5="insulation"),"Porous","Hard/Mixed")</x:f>
      </x:c>
      <x:c r="L5" s="23">
        <x:f>IF(AND(D5=1,OR(K5="Porous",H5=1,I5=1)),"Escalate","Review / Monitor")</x:f>
      </x:c>
    </x:row>
    <x:row r="6">
      <x:c r="A6" s="22" t="inlineStr">
        <x:is>
          <x:t xml:space="preserve">IMG_002</x:t>
        </x:is>
      </x:c>
      <x:c r="B6" s="22" t="inlineStr">
        <x:is>
          <x:t xml:space="preserve">closet</x:t>
        </x:is>
      </x:c>
      <x:c r="C6" s="22" t="inlineStr">
        <x:is>
          <x:t xml:space="preserve">drywall</x:t>
        </x:is>
      </x:c>
      <x:c r="D6" s="22" t="n">
        <x:v>1</x:v>
      </x:c>
      <x:c r="E6" s="22" t="inlineStr">
        <x:is>
          <x:t xml:space="preserve">fuzzy</x:t>
        </x:is>
      </x:c>
      <x:c r="F6" s="22" t="inlineStr">
        <x:is>
          <x:t xml:space="preserve">irregular</x:t>
        </x:is>
      </x:c>
      <x:c r="G6" s="22" t="inlineStr">
        <x:is>
          <x:t xml:space="preserve">mixed</x:t>
        </x:is>
      </x:c>
      <x:c r="H6" s="22" t="n">
        <x:v>1</x:v>
      </x:c>
      <x:c r="I6" s="22" t="n">
        <x:v>1</x:v>
      </x:c>
      <x:c r="J6" s="22" t="inlineStr">
        <x:is>
          <x:t xml:space="preserve">unknown</x:t>
        </x:is>
      </x:c>
      <x:c r="K6" s="23">
        <x:f>IF(OR(C6="drywall",C6="wood",C6="carpet",C6="insulation"),"Porous","Hard/Mixed")</x:f>
      </x:c>
      <x:c r="L6" s="23">
        <x:f>IF(AND(D6=1,OR(K6="Porous",H6=1,I6=1)),"Escalate","Review / Monitor")</x:f>
      </x:c>
    </x:row>
    <x:row r="7">
      <x:c r="A7" s="22" t="inlineStr">
        <x:is>
          <x:t xml:space="preserve">IMG_003</x:t>
        </x:is>
      </x:c>
      <x:c r="B7" s="22" t="inlineStr">
        <x:is>
          <x:t xml:space="preserve">hvac</x:t>
        </x:is>
      </x:c>
      <x:c r="C7" s="22" t="inlineStr">
        <x:is>
          <x:t xml:space="preserve">metal</x:t>
        </x:is>
      </x:c>
      <x:c r="D7" s="22" t="n">
        <x:v>1</x:v>
      </x:c>
      <x:c r="E7" s="22" t="inlineStr">
        <x:is>
          <x:t xml:space="preserve">dust-like</x:t>
        </x:is>
      </x:c>
      <x:c r="F7" s="22" t="inlineStr">
        <x:is>
          <x:t xml:space="preserve">linear</x:t>
        </x:is>
      </x:c>
      <x:c r="G7" s="22" t="inlineStr">
        <x:is>
          <x:t xml:space="preserve">black</x:t>
        </x:is>
      </x:c>
      <x:c r="H7" s="22" t="n">
        <x:v>1</x:v>
      </x:c>
      <x:c r="I7" s="22" t="n">
        <x:v>1</x:v>
      </x:c>
      <x:c r="J7" s="22" t="inlineStr">
        <x:is>
          <x:t xml:space="preserve">hvac</x:t>
        </x:is>
      </x:c>
      <x:c r="K7" s="23">
        <x:f>IF(OR(C7="drywall",C7="wood",C7="carpet",C7="insulation"),"Porous","Hard/Mixed")</x:f>
      </x:c>
      <x:c r="L7" s="23">
        <x:f>IF(AND(D7=1,OR(K7="Porous",H7=1,I7=1)),"Escalate","Review / Monitor")</x:f>
      </x:c>
    </x:row>
    <x:row r="8">
      <x:c r="A8" s="22" t="inlineStr">
        <x:is>
          <x:t xml:space="preserve">IMG_004</x:t>
        </x:is>
      </x:c>
      <x:c r="B8" s="22" t="inlineStr">
        <x:is>
          <x:t xml:space="preserve">attic</x:t>
        </x:is>
      </x:c>
      <x:c r="C8" s="22" t="inlineStr">
        <x:is>
          <x:t xml:space="preserve">wood</x:t>
        </x:is>
      </x:c>
      <x:c r="D8" s="22" t="n">
        <x:v>1</x:v>
      </x:c>
      <x:c r="E8" s="22" t="inlineStr">
        <x:is>
          <x:t xml:space="preserve">powdery</x:t>
        </x:is>
      </x:c>
      <x:c r="F8" s="22" t="inlineStr">
        <x:is>
          <x:t xml:space="preserve">patchy</x:t>
        </x:is>
      </x:c>
      <x:c r="G8" s="22" t="inlineStr">
        <x:is>
          <x:t xml:space="preserve">brown</x:t>
        </x:is>
      </x:c>
      <x:c r="H8" s="22" t="n">
        <x:v>0</x:v>
      </x:c>
      <x:c r="I8" s="22" t="n">
        <x:v>0</x:v>
      </x:c>
      <x:c r="J8" s="22" t="inlineStr">
        <x:is>
          <x:t xml:space="preserve">roof</x:t>
        </x:is>
      </x:c>
      <x:c r="K8" s="23">
        <x:f>IF(OR(C8="drywall",C8="wood",C8="carpet",C8="insulation"),"Porous","Hard/Mixed")</x:f>
      </x:c>
      <x:c r="L8" s="23">
        <x:f>IF(AND(D8=1,OR(K8="Porous",H8=1,I8=1)),"Escalate","Review / Monitor")</x:f>
      </x:c>
    </x:row>
  </x:sheetData>
  <x:mergeCells>
    <x:mergeCell ref="A2:L2"/>
    <x:mergeCell ref="A1:L1"/>
  </x:mergeCells>
  <x:pageMargins left="0.7" right="0.7" top="0.75" bottom="0.75" header="0.3" footer="0.3"/>
  <x:tableParts count="1">
    <x:tablePart xmlns:r="http://schemas.openxmlformats.org/officeDocument/2006/relationships" r:id="R67ceb72bbf6849da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4" customWidth="1"/>
    <x:col min="3" max="3" width="40" customWidth="1"/>
    <x:col min="4" max="4" width="34" customWidth="1"/>
    <x:col min="5" max="5" width="34" customWidth="1"/>
    <x:col min="6" max="6" width="24" customWidth="1"/>
  </x:cols>
  <x:sheetData>
    <x:row r="1">
      <x:c r="A1" s="1" t="inlineStr">
        <x:is>
          <x:t xml:space="preserve">Home Health AI – Lab Interpretation Rules</x:t>
        </x:is>
      </x:c>
    </x:row>
    <x:row r="2">
      <x:c r="A2" s="2" t="inlineStr">
        <x:is>
          <x:t xml:space="preserve">Condensed rules from the uploaded lab report and interpretation guide for safer AI screening outputs.</x:t>
        </x:is>
      </x:c>
    </x:row>
    <x:row r="3"/>
    <x:row r="4">
      <x:c r="A4" s="7" t="inlineStr">
        <x:is>
          <x:t xml:space="preserve">Section</x:t>
        </x:is>
      </x:c>
      <x:c r="B4" s="7" t="inlineStr">
        <x:is>
          <x:t xml:space="preserve">Topic</x:t>
        </x:is>
      </x:c>
      <x:c r="C4" s="7" t="inlineStr">
        <x:is>
          <x:t xml:space="preserve">Lab rule / interpretation</x:t>
        </x:is>
      </x:c>
      <x:c r="D4" s="7" t="inlineStr">
        <x:is>
          <x:t xml:space="preserve">AI implication</x:t>
        </x:is>
      </x:c>
      <x:c r="E4" s="7" t="inlineStr">
        <x:is>
          <x:t xml:space="preserve">Example app language</x:t>
        </x:is>
      </x:c>
      <x:c r="F4" s="7" t="inlineStr">
        <x:is>
          <x:t xml:space="preserve">Source file</x:t>
        </x:is>
      </x:c>
    </x:row>
    <x:row r="5">
      <x:c r="A5" s="4" t="inlineStr">
        <x:is>
          <x:t xml:space="preserve">Air cassette logic</x:t>
        </x:is>
      </x:c>
      <x:c r="B5" s="4" t="inlineStr">
        <x:is>
          <x:t xml:space="preserve">Non-viable spore trap</x:t>
        </x:is>
      </x:c>
      <x:c r="C5" s="4" t="inlineStr">
        <x:is>
          <x:t xml:space="preserve">Air-O-Cell / spore-trap analysis identifies and counts airborne spores by microscopy; it does not culture viability.</x:t>
        </x:is>
      </x:c>
      <x:c r="D5" s="4" t="inlineStr">
        <x:is>
          <x:t xml:space="preserve">Do not claim a photo or air sample proves a live colony without context.</x:t>
        </x:is>
      </x:c>
      <x:c r="E5" s="4" t="inlineStr">
        <x:is>
          <x:t xml:space="preserve">Air data can suggest amplification, but viability and source confirmation may require more inspection.</x:t>
        </x:is>
      </x:c>
      <x:c r="F5" s="4" t="inlineStr">
        <x:is>
          <x:t xml:space="preserve">Lab Information.pdf</x:t>
        </x:is>
      </x:c>
    </x:row>
    <x:row r="6">
      <x:c r="A6" s="4" t="inlineStr">
        <x:is>
          <x:t xml:space="preserve">Air cassette logic</x:t>
        </x:is>
      </x:c>
      <x:c r="B6" s="4" t="inlineStr">
        <x:is>
          <x:t xml:space="preserve">Indoor vs outdoor comparison</x:t>
        </x:is>
      </x:c>
      <x:c r="C6" s="4" t="inlineStr">
        <x:is>
          <x:t xml:space="preserve">Indoor air is commonly interpreted against an exterior/baseline sample; elevated indoor counts and/or unusual dominance can suggest indoor amplification.</x:t>
        </x:is>
      </x:c>
      <x:c r="D6" s="4" t="inlineStr">
        <x:is>
          <x:t xml:space="preserve">Use comparison logic when air data exists; avoid calling contamination from a single raw number alone.</x:t>
        </x:is>
      </x:c>
      <x:c r="E6" s="4" t="inlineStr">
        <x:is>
          <x:t xml:space="preserve">Indoor levels above baseline can increase concern for indoor amplification.</x:t>
        </x:is>
      </x:c>
      <x:c r="F6" s="4" t="inlineStr">
        <x:is>
          <x:t xml:space="preserve">Lab Information.pdf</x:t>
        </x:is>
      </x:c>
    </x:row>
    <x:row r="7">
      <x:c r="A7" s="4" t="inlineStr">
        <x:is>
          <x:t xml:space="preserve">Air cassette logic</x:t>
        </x:is>
      </x:c>
      <x:c r="B7" s="4" t="inlineStr">
        <x:is>
          <x:t xml:space="preserve">Count per m³</x:t>
        </x:is>
      </x:c>
      <x:c r="C7" s="4" t="inlineStr">
        <x:is>
          <x:t xml:space="preserve">Count per cubic meter is calculated from raw count adjusted for sampled air volume.</x:t>
        </x:is>
      </x:c>
      <x:c r="D7" s="4" t="inlineStr">
        <x:is>
          <x:t xml:space="preserve">Store both raw count and count/m³ when using lab examples or QA data.</x:t>
        </x:is>
      </x:c>
      <x:c r="E7" s="4" t="inlineStr">
        <x:is>
          <x:t xml:space="preserve">Standardized count/m³ helps compare samples collected at different volumes.</x:t>
        </x:is>
      </x:c>
      <x:c r="F7" s="4" t="inlineStr">
        <x:is>
          <x:t xml:space="preserve">21056763_Jaunich_20211020173423.pdf</x:t>
        </x:is>
      </x:c>
    </x:row>
    <x:row r="8">
      <x:c r="A8" s="4" t="inlineStr">
        <x:is>
          <x:t xml:space="preserve">Air cassette logic</x:t>
        </x:is>
      </x:c>
      <x:c r="B8" s="4" t="inlineStr">
        <x:is>
          <x:t xml:space="preserve">Background debris / density</x:t>
        </x:is>
      </x:c>
      <x:c r="C8" s="4" t="inlineStr">
        <x:is>
          <x:t xml:space="preserve">Higher debris can occlude small spores and make undercounting more likely.</x:t>
        </x:is>
      </x:c>
      <x:c r="D8" s="4" t="inlineStr">
        <x:is>
          <x:t xml:space="preserve">Lower AI confidence when lab notes show heavy background or visibility issues.</x:t>
        </x:is>
      </x:c>
      <x:c r="E8" s="4" t="inlineStr">
        <x:is>
          <x:t xml:space="preserve">Heavy background can hide smaller spores, so findings may under-represent the true load.</x:t>
        </x:is>
      </x:c>
      <x:c r="F8" s="4" t="inlineStr">
        <x:is>
          <x:t xml:space="preserve">Both uploaded PDFs</x:t>
        </x:is>
      </x:c>
    </x:row>
    <x:row r="9">
      <x:c r="A9" s="4" t="inlineStr">
        <x:is>
          <x:t xml:space="preserve">Air cassette logic</x:t>
        </x:is>
      </x:c>
      <x:c r="B9" s="4" t="inlineStr">
        <x:is>
          <x:t xml:space="preserve">Rain / humidity shift outdoor profile</x:t>
        </x:is>
      </x:c>
      <x:c r="C9" s="4" t="inlineStr">
        <x:is>
          <x:t xml:space="preserve">Rain or high humidity may depress some outdoor spores while increasing ascospores / basidiospores.</x:t>
        </x:is>
      </x:c>
      <x:c r="D9" s="4" t="inlineStr">
        <x:is>
          <x:t xml:space="preserve">Do not over-interpret a wet-day baseline without weather context.</x:t>
        </x:is>
      </x:c>
      <x:c r="E9" s="4" t="inlineStr">
        <x:is>
          <x:t xml:space="preserve">Weather can shift outdoor fungal profiles, especially ascospores and basidiospores.</x:t>
        </x:is>
      </x:c>
      <x:c r="F9" s="4" t="inlineStr">
        <x:is>
          <x:t xml:space="preserve">Lab Information.pdf</x:t>
        </x:is>
      </x:c>
    </x:row>
    <x:row r="10">
      <x:c r="A10" s="4" t="inlineStr">
        <x:is>
          <x:t xml:space="preserve">Water-damage thresholds</x:t>
        </x:is>
      </x:c>
      <x:c r="B10" s="4" t="inlineStr">
        <x:is>
          <x:t xml:space="preserve">High-moisture indicators</x:t>
        </x:is>
      </x:c>
      <x:c r="C10" s="4" t="inlineStr">
        <x:is>
          <x:t xml:space="preserve">Stachybotrys and Chaetomium are treated as strong water-damage indicators even at relatively low counts.</x:t>
        </x:is>
      </x:c>
      <x:c r="D10" s="4" t="inlineStr">
        <x:is>
          <x:t xml:space="preserve">Escalate concern when these appear with moisture evidence or porous substrates.</x:t>
        </x:is>
      </x:c>
      <x:c r="E10" s="4" t="inlineStr">
        <x:is>
          <x:t xml:space="preserve">Water-damage indicator molds deserve more attention even at lower counts.</x:t>
        </x:is>
      </x:c>
      <x:c r="F10" s="4" t="inlineStr">
        <x:is>
          <x:t xml:space="preserve">21056763_Jaunich_20211020173423.pdf</x:t>
        </x:is>
      </x:c>
    </x:row>
    <x:row r="11">
      <x:c r="A11" s="4" t="inlineStr">
        <x:is>
          <x:t xml:space="preserve">Grouping logic</x:t>
        </x:is>
      </x:c>
      <x:c r="B11" s="4" t="inlineStr">
        <x:is>
          <x:t xml:space="preserve">Aspergillus/Penicillium grouping</x:t>
        </x:is>
      </x:c>
      <x:c r="C11" s="4" t="inlineStr">
        <x:is>
          <x:t xml:space="preserve">Small round spores are often reported together on non-viable samples; similar-looking fungi can also fall in that grouped bucket.</x:t>
        </x:is>
      </x:c>
      <x:c r="D11" s="4" t="inlineStr">
        <x:is>
          <x:t xml:space="preserve">Use AI visual groups to avoid false precision from photos or non-viable microscopy.</x:t>
        </x:is>
      </x:c>
      <x:c r="E11" s="4" t="inlineStr">
        <x:is>
          <x:t xml:space="preserve">Some molds look too similar to separate confidently without reproductive structures.</x:t>
        </x:is>
      </x:c>
      <x:c r="F11" s="4" t="inlineStr">
        <x:is>
          <x:t xml:space="preserve">Both uploaded PDFs</x:t>
        </x:is>
      </x:c>
    </x:row>
    <x:row r="12">
      <x:c r="A12" s="4" t="inlineStr">
        <x:is>
          <x:t xml:space="preserve">Direct ID logic</x:t>
        </x:is>
      </x:c>
      <x:c r="B12" s="4" t="inlineStr">
        <x:is>
          <x:t xml:space="preserve">Evidence-of-growth scale</x:t>
        </x:is>
      </x:c>
      <x:c r="C12" s="4" t="inlineStr">
        <x:is>
          <x:t xml:space="preserve">Direct-ID uses rare / light / moderate / heavy to estimate possible growth based on mycelia and conidiophores.</x:t>
        </x:is>
      </x:c>
      <x:c r="D12" s="4" t="inlineStr">
        <x:is>
          <x:t xml:space="preserve">Map this to confidence and next-step language instead of medical claims.</x:t>
        </x:is>
      </x:c>
      <x:c r="E12" s="4" t="inlineStr">
        <x:is>
          <x:t xml:space="preserve">Surface evidence can be described as limited, possible, probable, or significant growth.</x:t>
        </x:is>
      </x:c>
      <x:c r="F12" s="4" t="inlineStr">
        <x:is>
          <x:t xml:space="preserve">21056763_Jaunich_20211020173423.pdf</x:t>
        </x:is>
      </x:c>
    </x:row>
    <x:row r="13">
      <x:c r="A13" s="4" t="inlineStr">
        <x:is>
          <x:t xml:space="preserve">Safety framing</x:t>
        </x:is>
      </x:c>
      <x:c r="B13" s="4" t="inlineStr">
        <x:is>
          <x:t xml:space="preserve">Screening vs diagnosis</x:t>
        </x:is>
      </x:c>
      <x:c r="C13" s="4" t="inlineStr">
        <x:is>
          <x:t xml:space="preserve">Lab reports explicitly avoid declaring building safety from lab data alone.</x:t>
        </x:is>
      </x:c>
      <x:c r="D13" s="4" t="inlineStr">
        <x:is>
          <x:t xml:space="preserve">Keep the app in screening / triage mode, not medical or definitive diagnosis mode.</x:t>
        </x:is>
      </x:c>
      <x:c r="E13" s="4" t="inlineStr">
        <x:is>
          <x:t xml:space="preserve">This tool screens for concern and helps decide whether inspection is warranted.</x:t>
        </x:is>
      </x:c>
      <x:c r="F13" s="4" t="inlineStr">
        <x:is>
          <x:t xml:space="preserve">Both uploaded PDFs</x:t>
        </x:is>
      </x:c>
    </x:row>
    <x:row r="14"/>
    <x:row r="15"/>
    <x:row r="16">
      <x:c r="A16" s="1" t="inlineStr">
        <x:is>
          <x:t xml:space="preserve">Background Density Scale</x:t>
        </x:is>
      </x:c>
    </x:row>
    <x:row r="17">
      <x:c r="A17" s="7" t="inlineStr">
        <x:is>
          <x:t xml:space="preserve">Density</x:t>
        </x:is>
      </x:c>
      <x:c r="B17" s="7" t="inlineStr">
        <x:is>
          <x:t xml:space="preserve">Amount of particulate on slide</x:t>
        </x:is>
      </x:c>
      <x:c r="C17" s="7" t="inlineStr">
        <x:is>
          <x:t xml:space="preserve">Interpretation</x:t>
        </x:is>
      </x:c>
      <x:c r="D17" s="7" t="inlineStr">
        <x:is>
          <x:t xml:space="preserve">Occlusion risk</x:t>
        </x:is>
      </x:c>
      <x:c r="E17" s="7" t="inlineStr">
        <x:is>
          <x:t xml:space="preserve">AI confidence adjustment</x:t>
        </x:is>
      </x:c>
      <x:c r="F17" s="7" t="inlineStr">
        <x:is>
          <x:t xml:space="preserve">Source file</x:t>
        </x:is>
      </x:c>
    </x:row>
    <x:row r="18">
      <x:c r="A18" s="4" t="inlineStr">
        <x:is>
          <x:t xml:space="preserve">1</x:t>
        </x:is>
      </x:c>
      <x:c r="B18" s="4" t="inlineStr">
        <x:is>
          <x:t xml:space="preserve">Insignificant</x:t>
        </x:is>
      </x:c>
      <x:c r="C18" s="4" t="inlineStr">
        <x:is>
          <x:t xml:space="preserve">Should not skew counts</x:t>
        </x:is>
      </x:c>
      <x:c r="D18" s="4" t="inlineStr">
        <x:is>
          <x:t xml:space="preserve">Minimal</x:t>
        </x:is>
      </x:c>
      <x:c r="E18" s="4" t="inlineStr">
        <x:is>
          <x:t xml:space="preserve">No penalty</x:t>
        </x:is>
      </x:c>
      <x:c r="F18" s="4" t="inlineStr">
        <x:is>
          <x:t xml:space="preserve">21056763_Jaunich_20211020173423.pdf</x:t>
        </x:is>
      </x:c>
    </x:row>
    <x:row r="19">
      <x:c r="A19" s="4" t="inlineStr">
        <x:is>
          <x:t xml:space="preserve">1+</x:t>
        </x:is>
      </x:c>
      <x:c r="B19" s="4" t="inlineStr">
        <x:is>
          <x:t xml:space="preserve">Low</x:t>
        </x:is>
      </x:c>
      <x:c r="C19" s="4" t="inlineStr">
        <x:is>
          <x:t xml:space="preserve">Should not skew counts</x:t>
        </x:is>
      </x:c>
      <x:c r="D19" s="4" t="inlineStr">
        <x:is>
          <x:t xml:space="preserve">Low</x:t>
        </x:is>
      </x:c>
      <x:c r="E19" s="4" t="inlineStr">
        <x:is>
          <x:t xml:space="preserve">No penalty</x:t>
        </x:is>
      </x:c>
      <x:c r="F19" s="4" t="inlineStr">
        <x:is>
          <x:t xml:space="preserve">21056763_Jaunich_20211020173423.pdf</x:t>
        </x:is>
      </x:c>
    </x:row>
    <x:row r="20">
      <x:c r="A20" s="4" t="inlineStr">
        <x:is>
          <x:t xml:space="preserve">2</x:t>
        </x:is>
      </x:c>
      <x:c r="B20" s="4" t="inlineStr">
        <x:is>
          <x:t xml:space="preserve">Low to moderate</x:t>
        </x:is>
      </x:c>
      <x:c r="C20" s="4" t="inlineStr">
        <x:is>
          <x:t xml:space="preserve">Should not skew counts</x:t>
        </x:is>
      </x:c>
      <x:c r="D20" s="4" t="inlineStr">
        <x:is>
          <x:t xml:space="preserve">Low</x:t>
        </x:is>
      </x:c>
      <x:c r="E20" s="4" t="inlineStr">
        <x:is>
          <x:t xml:space="preserve">Small caution only</x:t>
        </x:is>
      </x:c>
      <x:c r="F20" s="4" t="inlineStr">
        <x:is>
          <x:t xml:space="preserve">21056763_Jaunich_20211020173423.pdf</x:t>
        </x:is>
      </x:c>
    </x:row>
    <x:row r="21">
      <x:c r="A21" s="4" t="inlineStr">
        <x:is>
          <x:t xml:space="preserve">2+</x:t>
        </x:is>
      </x:c>
      <x:c r="B21" s="4" t="inlineStr">
        <x:is>
          <x:t xml:space="preserve">Moderate to high</x:t>
        </x:is>
      </x:c>
      <x:c r="C21" s="4" t="inlineStr">
        <x:is>
          <x:t xml:space="preserve">May occlude small spores</x:t>
        </x:is>
      </x:c>
      <x:c r="D21" s="4" t="inlineStr">
        <x:is>
          <x:t xml:space="preserve">Moderate</x:t>
        </x:is>
      </x:c>
      <x:c r="E21" s="4" t="inlineStr">
        <x:is>
          <x:t xml:space="preserve">Lower confidence slightly</x:t>
        </x:is>
      </x:c>
      <x:c r="F21" s="4" t="inlineStr">
        <x:is>
          <x:t xml:space="preserve">21056763_Jaunich_20211020173423.pdf</x:t>
        </x:is>
      </x:c>
    </x:row>
    <x:row r="22">
      <x:c r="A22" s="4" t="inlineStr">
        <x:is>
          <x:t xml:space="preserve">3</x:t>
        </x:is>
      </x:c>
      <x:c r="B22" s="4" t="inlineStr">
        <x:is>
          <x:t xml:space="preserve">High</x:t>
        </x:is>
      </x:c>
      <x:c r="C22" s="4" t="inlineStr">
        <x:is>
          <x:t xml:space="preserve">May occlude small to medium spores</x:t>
        </x:is>
      </x:c>
      <x:c r="D22" s="4" t="inlineStr">
        <x:is>
          <x:t xml:space="preserve">High</x:t>
        </x:is>
      </x:c>
      <x:c r="E22" s="4" t="inlineStr">
        <x:is>
          <x:t xml:space="preserve">Lower confidence</x:t>
        </x:is>
      </x:c>
      <x:c r="F22" s="4" t="inlineStr">
        <x:is>
          <x:t xml:space="preserve">21056763_Jaunich_20211020173423.pdf</x:t>
        </x:is>
      </x:c>
    </x:row>
    <x:row r="23">
      <x:c r="A23" s="4" t="inlineStr">
        <x:is>
          <x:t xml:space="preserve">3+</x:t>
        </x:is>
      </x:c>
      <x:c r="B23" s="4" t="inlineStr">
        <x:is>
          <x:t xml:space="preserve">Very high</x:t>
        </x:is>
      </x:c>
      <x:c r="C23" s="4" t="inlineStr">
        <x:is>
          <x:t xml:space="preserve">Will occlude spores</x:t>
        </x:is>
      </x:c>
      <x:c r="D23" s="4" t="inlineStr">
        <x:is>
          <x:t xml:space="preserve">Very high</x:t>
        </x:is>
      </x:c>
      <x:c r="E23" s="4" t="inlineStr">
        <x:is>
          <x:t xml:space="preserve">Strong confidence penalty</x:t>
        </x:is>
      </x:c>
      <x:c r="F23" s="4" t="inlineStr">
        <x:is>
          <x:t xml:space="preserve">21056763_Jaunich_20211020173423.pdf</x:t>
        </x:is>
      </x:c>
    </x:row>
    <x:row r="24">
      <x:c r="A24" s="4" t="inlineStr">
        <x:is>
          <x:t xml:space="preserve">4</x:t>
        </x:is>
      </x:c>
      <x:c r="B24" s="4" t="inlineStr">
        <x:is>
          <x:t xml:space="preserve">Overloaded</x:t>
        </x:is>
      </x:c>
      <x:c r="C24" s="4" t="inlineStr">
        <x:is>
          <x:t xml:space="preserve">Too much particulate to perform analysis</x:t>
        </x:is>
      </x:c>
      <x:c r="D24" s="4" t="inlineStr">
        <x:is>
          <x:t xml:space="preserve">Extreme</x:t>
        </x:is>
      </x:c>
      <x:c r="E24" s="4" t="inlineStr">
        <x:is>
          <x:t xml:space="preserve">Treat as unreadable / inconclusive</x:t>
        </x:is>
      </x:c>
      <x:c r="F24" s="4" t="inlineStr">
        <x:is>
          <x:t xml:space="preserve">21056763_Jaunich_20211020173423.pdf</x:t>
        </x:is>
      </x:c>
    </x:row>
    <x:row r="25"/>
    <x:row r="26"/>
    <x:row r="27">
      <x:c r="A27" s="1" t="inlineStr">
        <x:is>
          <x:t xml:space="preserve">Direct ID Evidence-of-Growth Scale</x:t>
        </x:is>
      </x:c>
    </x:row>
    <x:row r="28">
      <x:c r="A28" s="7" t="inlineStr">
        <x:is>
          <x:t xml:space="preserve">Estimated amount</x:t>
        </x:is>
      </x:c>
      <x:c r="B28" s="7" t="inlineStr">
        <x:is>
          <x:t xml:space="preserve">Growth indication</x:t>
        </x:is>
      </x:c>
      <x:c r="C28" s="7" t="inlineStr">
        <x:is>
          <x:t xml:space="preserve">Evidence on sample</x:t>
        </x:is>
      </x:c>
      <x:c r="D28" s="7" t="inlineStr">
        <x:is>
          <x:t xml:space="preserve">Suggested app wording</x:t>
        </x:is>
      </x:c>
      <x:c r="E28" s="7" t="inlineStr">
        <x:is>
          <x:t xml:space="preserve">Escalation posture</x:t>
        </x:is>
      </x:c>
      <x:c r="F28" s="7" t="inlineStr">
        <x:is>
          <x:t xml:space="preserve">Source file</x:t>
        </x:is>
      </x:c>
    </x:row>
    <x:row r="29">
      <x:c r="A29" s="4" t="inlineStr">
        <x:is>
          <x:t xml:space="preserve">Rare</x:t>
        </x:is>
      </x:c>
      <x:c r="B29" s="4" t="inlineStr">
        <x:is>
          <x:t xml:space="preserve">Not likely</x:t>
        </x:is>
      </x:c>
      <x:c r="C29" s="4" t="inlineStr">
        <x:is>
          <x:t xml:space="preserve">No associated mycelial fragments / conidiophores</x:t>
        </x:is>
      </x:c>
      <x:c r="D29" s="4" t="inlineStr">
        <x:is>
          <x:t xml:space="preserve">Trace evidence only; below clear contamination level</x:t>
        </x:is>
      </x:c>
      <x:c r="E29" s="4" t="inlineStr">
        <x:is>
          <x:t xml:space="preserve">Monitor / inspect if recurring</x:t>
        </x:is>
      </x:c>
      <x:c r="F29" s="4" t="inlineStr">
        <x:is>
          <x:t xml:space="preserve">21056763_Jaunich_20211020173423.pdf</x:t>
        </x:is>
      </x:c>
    </x:row>
    <x:row r="30">
      <x:c r="A30" s="4" t="inlineStr">
        <x:is>
          <x:t xml:space="preserve">Light</x:t>
        </x:is>
      </x:c>
      <x:c r="B30" s="4" t="inlineStr">
        <x:is>
          <x:t xml:space="preserve">Possible</x:t>
        </x:is>
      </x:c>
      <x:c r="C30" s="4" t="inlineStr">
        <x:is>
          <x:t xml:space="preserve">Some evidence, about 10–25% of tape covered</x:t>
        </x:is>
      </x:c>
      <x:c r="D30" s="4" t="inlineStr">
        <x:is>
          <x:t xml:space="preserve">Possible active growth</x:t>
        </x:is>
      </x:c>
      <x:c r="E30" s="4" t="inlineStr">
        <x:is>
          <x:t xml:space="preserve">Recommend closer inspection</x:t>
        </x:is>
      </x:c>
      <x:c r="F30" s="4" t="inlineStr">
        <x:is>
          <x:t xml:space="preserve">21056763_Jaunich_20211020173423.pdf</x:t>
        </x:is>
      </x:c>
    </x:row>
    <x:row r="31">
      <x:c r="A31" s="4" t="inlineStr">
        <x:is>
          <x:t xml:space="preserve">Moderate</x:t>
        </x:is>
      </x:c>
      <x:c r="B31" s="4" t="inlineStr">
        <x:is>
          <x:t xml:space="preserve">Probable</x:t>
        </x:is>
      </x:c>
      <x:c r="C31" s="4" t="inlineStr">
        <x:is>
          <x:t xml:space="preserve">Abundant evidence, about 25–50% of tape covered</x:t>
        </x:is>
      </x:c>
      <x:c r="D31" s="4" t="inlineStr">
        <x:is>
          <x:t xml:space="preserve">Probable active growth</x:t>
        </x:is>
      </x:c>
      <x:c r="E31" s="4" t="inlineStr">
        <x:is>
          <x:t xml:space="preserve">Professional inspection / remediation discussion</x:t>
        </x:is>
      </x:c>
      <x:c r="F31" s="4" t="inlineStr">
        <x:is>
          <x:t xml:space="preserve">21056763_Jaunich_20211020173423.pdf</x:t>
        </x:is>
      </x:c>
    </x:row>
    <x:row r="32">
      <x:c r="A32" s="4" t="inlineStr">
        <x:is>
          <x:t xml:space="preserve">Heavy</x:t>
        </x:is>
      </x:c>
      <x:c r="B32" s="4" t="inlineStr">
        <x:is>
          <x:t xml:space="preserve">Significant</x:t>
        </x:is>
      </x:c>
      <x:c r="C32" s="4" t="inlineStr">
        <x:is>
          <x:t xml:space="preserve">Throughout sample, about 50–100% covered</x:t>
        </x:is>
      </x:c>
      <x:c r="D32" s="4" t="inlineStr">
        <x:is>
          <x:t xml:space="preserve">Significant active growth likely</x:t>
        </x:is>
      </x:c>
      <x:c r="E32" s="4" t="inlineStr">
        <x:is>
          <x:t xml:space="preserve">Escalate strongly</x:t>
        </x:is>
      </x:c>
      <x:c r="F32" s="4" t="inlineStr">
        <x:is>
          <x:t xml:space="preserve">21056763_Jaunich_20211020173423.pdf</x:t>
        </x:is>
      </x:c>
    </x:row>
  </x:sheetData>
  <x:mergeCells>
    <x:mergeCell ref="A2:F2"/>
    <x:mergeCell ref="A16:F16"/>
    <x:mergeCell ref="A1:F1"/>
    <x:mergeCell ref="A27:F27"/>
  </x:mergeCells>
  <x:pageMargins left="0.7" right="0.7" top="0.75" bottom="0.75" header="0.3" footer="0.3"/>
  <x:legacyDrawing xmlns:r="http://schemas.openxmlformats.org/officeDocument/2006/relationships" r:id="R921251b5321a4cc4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1" customWidth="1"/>
    <x:col min="3" max="3" width="30" customWidth="1"/>
    <x:col min="4" max="4" width="25" customWidth="1"/>
    <x:col min="5" max="5" width="2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</x:cols>
  <x:sheetData>
    <x:row r="1">
      <x:c r="A1" s="1" t="inlineStr">
        <x:is>
          <x:t xml:space="preserve">Home Health AI – Lab Sample Examples</x:t>
        </x:is>
      </x:c>
    </x:row>
    <x:row r="2">
      <x:c r="A2" s="2" t="inlineStr">
        <x:is>
          <x:t xml:space="preserve">Structured examples from uploaded SanAir and AEMTEK reports for AI QA, messaging tests, and baseline-vs-interior interpretation.</x:t>
        </x:is>
      </x:c>
    </x:row>
    <x:row r="3"/>
    <x:row r="4">
      <x:c r="A4" s="1" t="inlineStr">
        <x:is>
          <x:t xml:space="preserve">Air Sample Example Rows</x:t>
        </x:is>
      </x:c>
    </x:row>
    <x:row r="5">
      <x:c r="A5" s="7" t="inlineStr">
        <x:is>
          <x:t xml:space="preserve">sample_id</x:t>
        </x:is>
      </x:c>
      <x:c r="B5" s="7" t="inlineStr">
        <x:is>
          <x:t xml:space="preserve">sample_location</x:t>
        </x:is>
      </x:c>
      <x:c r="C5" s="7" t="inlineStr">
        <x:is>
          <x:t xml:space="preserve">sample_type</x:t>
        </x:is>
      </x:c>
      <x:c r="D5" s="7" t="inlineStr">
        <x:is>
          <x:t xml:space="preserve">volume_l</x:t>
        </x:is>
      </x:c>
      <x:c r="E5" s="7" t="inlineStr">
        <x:is>
          <x:t xml:space="preserve">background_density</x:t>
        </x:is>
      </x:c>
      <x:c r="F5" s="7" t="inlineStr">
        <x:is>
          <x:t xml:space="preserve">organism</x:t>
        </x:is>
      </x:c>
      <x:c r="G5" s="7" t="inlineStr">
        <x:is>
          <x:t xml:space="preserve">raw_count</x:t>
        </x:is>
      </x:c>
      <x:c r="H5" s="7" t="inlineStr">
        <x:is>
          <x:t xml:space="preserve">count_per_m3</x:t>
        </x:is>
      </x:c>
      <x:c r="I5" s="7" t="inlineStr">
        <x:is>
          <x:t xml:space="preserve">percent_of_total</x:t>
        </x:is>
      </x:c>
      <x:c r="J5" s="7" t="inlineStr">
        <x:is>
          <x:t xml:space="preserve">ai_interpretation_note</x:t>
        </x:is>
      </x:c>
    </x:row>
    <x:row r="6">
      <x:c r="A6" s="4" t="inlineStr">
        <x:is>
          <x:t xml:space="preserve">21056763-001</x:t>
        </x:is>
      </x:c>
      <x:c r="B6" s="4" t="inlineStr">
        <x:is>
          <x:t xml:space="preserve">Exterior</x:t>
        </x:is>
      </x:c>
      <x:c r="C6" s="4" t="inlineStr">
        <x:is>
          <x:t xml:space="preserve">Air-O-Cell</x:t>
        </x:is>
      </x:c>
      <x:c r="D6" s="4" t="n">
        <x:v>75</x:v>
      </x:c>
      <x:c r="E6" s="4" t="inlineStr">
        <x:is>
          <x:t xml:space="preserve">2</x:t>
        </x:is>
      </x:c>
      <x:c r="F6" s="4" t="inlineStr">
        <x:is>
          <x:t xml:space="preserve">Alternaria species</x:t>
        </x:is>
      </x:c>
      <x:c r="G6" s="4" t="n">
        <x:v>2</x:v>
      </x:c>
      <x:c r="H6" s="4" t="n">
        <x:v>27</x:v>
      </x:c>
      <x:c r="I6" s="4" t="inlineStr">
        <x:is>
          <x:t xml:space="preserve">&lt;1%</x:t>
        </x:is>
      </x:c>
      <x:c r="J6" s="4" t="inlineStr">
        <x:is>
          <x:t xml:space="preserve">Exterior baseline outdoor-type detection</x:t>
        </x:is>
      </x:c>
    </x:row>
    <x:row r="7">
      <x:c r="A7" s="4" t="inlineStr">
        <x:is>
          <x:t xml:space="preserve">21056763-001</x:t>
        </x:is>
      </x:c>
      <x:c r="B7" s="4" t="inlineStr">
        <x:is>
          <x:t xml:space="preserve">Exterior</x:t>
        </x:is>
      </x:c>
      <x:c r="C7" s="4" t="inlineStr">
        <x:is>
          <x:t xml:space="preserve">Air-O-Cell</x:t>
        </x:is>
      </x:c>
      <x:c r="D7" s="4" t="n">
        <x:v>75</x:v>
      </x:c>
      <x:c r="E7" s="4" t="inlineStr">
        <x:is>
          <x:t xml:space="preserve">2</x:t>
        </x:is>
      </x:c>
      <x:c r="F7" s="4" t="inlineStr">
        <x:is>
          <x:t xml:space="preserve">Ascospores</x:t>
        </x:is>
      </x:c>
      <x:c r="G7" s="4" t="n">
        <x:v>882</x:v>
      </x:c>
      <x:c r="H7" s="4" t="n">
        <x:v>11760</x:v>
      </x:c>
      <x:c r="I7" s="4" t="inlineStr">
        <x:is>
          <x:t xml:space="preserve">99%</x:t>
        </x:is>
      </x:c>
      <x:c r="J7" s="4" t="inlineStr">
        <x:is>
          <x:t xml:space="preserve">Exterior baseline dominated by ascospores</x:t>
        </x:is>
      </x:c>
    </x:row>
    <x:row r="8">
      <x:c r="A8" s="4" t="inlineStr">
        <x:is>
          <x:t xml:space="preserve">21056763-001</x:t>
        </x:is>
      </x:c>
      <x:c r="B8" s="4" t="inlineStr">
        <x:is>
          <x:t xml:space="preserve">Exterior</x:t>
        </x:is>
      </x:c>
      <x:c r="C8" s="4" t="inlineStr">
        <x:is>
          <x:t xml:space="preserve">Air-O-Cell</x:t>
        </x:is>
      </x:c>
      <x:c r="D8" s="4" t="n">
        <x:v>75</x:v>
      </x:c>
      <x:c r="E8" s="4" t="inlineStr">
        <x:is>
          <x:t xml:space="preserve">2</x:t>
        </x:is>
      </x:c>
      <x:c r="F8" s="4" t="inlineStr">
        <x:is>
          <x:t xml:space="preserve">Chaetomium species</x:t>
        </x:is>
      </x:c>
      <x:c r="G8" s="4" t="n">
        <x:v>2</x:v>
      </x:c>
      <x:c r="H8" s="4" t="n">
        <x:v>27</x:v>
      </x:c>
      <x:c r="I8" s="4" t="inlineStr">
        <x:is>
          <x:t xml:space="preserve">&lt;1%</x:t>
        </x:is>
      </x:c>
      <x:c r="J8" s="4" t="inlineStr">
        <x:is>
          <x:t xml:space="preserve">Low-count water-damage indicator outdoors</x:t>
        </x:is>
      </x:c>
    </x:row>
    <x:row r="9">
      <x:c r="A9" s="4" t="inlineStr">
        <x:is>
          <x:t xml:space="preserve">21056763-001</x:t>
        </x:is>
      </x:c>
      <x:c r="B9" s="4" t="inlineStr">
        <x:is>
          <x:t xml:space="preserve">Exterior</x:t>
        </x:is>
      </x:c>
      <x:c r="C9" s="4" t="inlineStr">
        <x:is>
          <x:t xml:space="preserve">Air-O-Cell</x:t>
        </x:is>
      </x:c>
      <x:c r="D9" s="4" t="n">
        <x:v>75</x:v>
      </x:c>
      <x:c r="E9" s="4" t="inlineStr">
        <x:is>
          <x:t xml:space="preserve">2</x:t>
        </x:is>
      </x:c>
      <x:c r="F9" s="4" t="inlineStr">
        <x:is>
          <x:t xml:space="preserve">Cladosporium species</x:t>
        </x:is>
      </x:c>
      <x:c r="G9" s="4" t="n">
        <x:v>5</x:v>
      </x:c>
      <x:c r="H9" s="4" t="n">
        <x:v>67</x:v>
      </x:c>
      <x:c r="I9" s="4" t="inlineStr">
        <x:is>
          <x:t xml:space="preserve">&lt;1%</x:t>
        </x:is>
      </x:c>
      <x:c r="J9" s="4" t="inlineStr">
        <x:is>
          <x:t xml:space="preserve">Common outdoor allergen baseline</x:t>
        </x:is>
      </x:c>
    </x:row>
    <x:row r="10">
      <x:c r="A10" s="4" t="inlineStr">
        <x:is>
          <x:t xml:space="preserve">21056763-001</x:t>
        </x:is>
      </x:c>
      <x:c r="B10" s="4" t="inlineStr">
        <x:is>
          <x:t xml:space="preserve">Exterior</x:t>
        </x:is>
      </x:c>
      <x:c r="C10" s="4" t="inlineStr">
        <x:is>
          <x:t xml:space="preserve">Air-O-Cell</x:t>
        </x:is>
      </x:c>
      <x:c r="D10" s="4" t="n">
        <x:v>75</x:v>
      </x:c>
      <x:c r="E10" s="4" t="inlineStr">
        <x:is>
          <x:t xml:space="preserve">2</x:t>
        </x:is>
      </x:c>
      <x:c r="F10" s="4" t="inlineStr">
        <x:is>
          <x:t xml:space="preserve">Non-specified spore</x:t>
        </x:is>
      </x:c>
      <x:c r="G10" s="4" t="n">
        <x:v>1</x:v>
      </x:c>
      <x:c r="H10" s="4" t="n">
        <x:v>13</x:v>
      </x:c>
      <x:c r="I10" s="4" t="inlineStr">
        <x:is>
          <x:t xml:space="preserve">&lt;1%</x:t>
        </x:is>
      </x:c>
      <x:c r="J10" s="4" t="inlineStr">
        <x:is>
          <x:t xml:space="preserve">Unspecified trace morphology</x:t>
        </x:is>
      </x:c>
    </x:row>
    <x:row r="11">
      <x:c r="A11" s="4" t="inlineStr">
        <x:is>
          <x:t xml:space="preserve">21056763-002</x:t>
        </x:is>
      </x:c>
      <x:c r="B11" s="4" t="inlineStr">
        <x:is>
          <x:t xml:space="preserve">Entry</x:t>
        </x:is>
      </x:c>
      <x:c r="C11" s="4" t="inlineStr">
        <x:is>
          <x:t xml:space="preserve">Air-O-Cell</x:t>
        </x:is>
      </x:c>
      <x:c r="D11" s="4" t="n">
        <x:v>75</x:v>
      </x:c>
      <x:c r="E11" s="4" t="inlineStr">
        <x:is>
          <x:t xml:space="preserve">3+</x:t>
        </x:is>
      </x:c>
      <x:c r="F11" s="4" t="inlineStr">
        <x:is>
          <x:t xml:space="preserve">Alternaria species</x:t>
        </x:is>
      </x:c>
      <x:c r="G11" s="4" t="n">
        <x:v>1</x:v>
      </x:c>
      <x:c r="H11" s="4" t="n">
        <x:v>13</x:v>
      </x:c>
      <x:c r="I11" s="4" t="inlineStr">
        <x:is>
          <x:t xml:space="preserve">&lt;1%</x:t>
        </x:is>
      </x:c>
      <x:c r="J11" s="4" t="inlineStr">
        <x:is>
          <x:t xml:space="preserve">Trace indoor alternaria</x:t>
        </x:is>
      </x:c>
    </x:row>
    <x:row r="12">
      <x:c r="A12" s="4" t="inlineStr">
        <x:is>
          <x:t xml:space="preserve">21056763-002</x:t>
        </x:is>
      </x:c>
      <x:c r="B12" s="4" t="inlineStr">
        <x:is>
          <x:t xml:space="preserve">Entry</x:t>
        </x:is>
      </x:c>
      <x:c r="C12" s="4" t="inlineStr">
        <x:is>
          <x:t xml:space="preserve">Air-O-Cell</x:t>
        </x:is>
      </x:c>
      <x:c r="D12" s="4" t="n">
        <x:v>75</x:v>
      </x:c>
      <x:c r="E12" s="4" t="inlineStr">
        <x:is>
          <x:t xml:space="preserve">3+</x:t>
        </x:is>
      </x:c>
      <x:c r="F12" s="4" t="inlineStr">
        <x:is>
          <x:t xml:space="preserve">Ascospores</x:t>
        </x:is>
      </x:c>
      <x:c r="G12" s="4" t="n">
        <x:v>1</x:v>
      </x:c>
      <x:c r="H12" s="4" t="n">
        <x:v>13</x:v>
      </x:c>
      <x:c r="I12" s="4" t="inlineStr">
        <x:is>
          <x:t xml:space="preserve">&lt;1%</x:t>
        </x:is>
      </x:c>
      <x:c r="J12" s="4" t="inlineStr">
        <x:is>
          <x:t xml:space="preserve">Very low ascospores indoors</x:t>
        </x:is>
      </x:c>
    </x:row>
    <x:row r="13">
      <x:c r="A13" s="4" t="inlineStr">
        <x:is>
          <x:t xml:space="preserve">21056763-002</x:t>
        </x:is>
      </x:c>
      <x:c r="B13" s="4" t="inlineStr">
        <x:is>
          <x:t xml:space="preserve">Entry</x:t>
        </x:is>
      </x:c>
      <x:c r="C13" s="4" t="inlineStr">
        <x:is>
          <x:t xml:space="preserve">Air-O-Cell</x:t>
        </x:is>
      </x:c>
      <x:c r="D13" s="4" t="n">
        <x:v>75</x:v>
      </x:c>
      <x:c r="E13" s="4" t="inlineStr">
        <x:is>
          <x:t xml:space="preserve">3+</x:t>
        </x:is>
      </x:c>
      <x:c r="F13" s="4" t="inlineStr">
        <x:is>
          <x:t xml:space="preserve">Basidiospores</x:t>
        </x:is>
      </x:c>
      <x:c r="G13" s="4" t="inlineStr">
        <x:is>
          <x:t xml:space="preserve">&gt;12000</x:t>
        </x:is>
      </x:c>
      <x:c r="H13" s="4" t="inlineStr">
        <x:is>
          <x:t xml:space="preserve">&gt;160000</x:t>
        </x:is>
      </x:c>
      <x:c r="I13" s="4" t="inlineStr">
        <x:is>
          <x:t xml:space="preserve">&gt;99%</x:t>
        </x:is>
      </x:c>
      <x:c r="J13" s="4" t="inlineStr">
        <x:is>
          <x:t xml:space="preserve">Heavy indoor basidiospore dominance with very high background</x:t>
        </x:is>
      </x:c>
    </x:row>
    <x:row r="14">
      <x:c r="A14" s="4" t="inlineStr">
        <x:is>
          <x:t xml:space="preserve">21056763-002</x:t>
        </x:is>
      </x:c>
      <x:c r="B14" s="4" t="inlineStr">
        <x:is>
          <x:t xml:space="preserve">Entry</x:t>
        </x:is>
      </x:c>
      <x:c r="C14" s="4" t="inlineStr">
        <x:is>
          <x:t xml:space="preserve">Air-O-Cell</x:t>
        </x:is>
      </x:c>
      <x:c r="D14" s="4" t="n">
        <x:v>75</x:v>
      </x:c>
      <x:c r="E14" s="4" t="inlineStr">
        <x:is>
          <x:t xml:space="preserve">3+</x:t>
        </x:is>
      </x:c>
      <x:c r="F14" s="4" t="inlineStr">
        <x:is>
          <x:t xml:space="preserve">Cladosporium species</x:t>
        </x:is>
      </x:c>
      <x:c r="G14" s="4" t="n">
        <x:v>1</x:v>
      </x:c>
      <x:c r="H14" s="4" t="n">
        <x:v>13</x:v>
      </x:c>
      <x:c r="I14" s="4" t="inlineStr">
        <x:is>
          <x:t xml:space="preserve">&lt;1%</x:t>
        </x:is>
      </x:c>
      <x:c r="J14" s="4" t="inlineStr">
        <x:is>
          <x:t xml:space="preserve">Trace cladosporium indoors</x:t>
        </x:is>
      </x:c>
    </x:row>
    <x:row r="15">
      <x:c r="A15" s="4" t="inlineStr">
        <x:is>
          <x:t xml:space="preserve">21056763-003</x:t>
        </x:is>
      </x:c>
      <x:c r="B15" s="4" t="inlineStr">
        <x:is>
          <x:t xml:space="preserve">TV Area</x:t>
        </x:is>
      </x:c>
      <x:c r="C15" s="4" t="inlineStr">
        <x:is>
          <x:t xml:space="preserve">Air-O-Cell</x:t>
        </x:is>
      </x:c>
      <x:c r="D15" s="4" t="n">
        <x:v>75</x:v>
      </x:c>
      <x:c r="E15" s="4" t="inlineStr">
        <x:is>
          <x:t xml:space="preserve">3+</x:t>
        </x:is>
      </x:c>
      <x:c r="F15" s="4" t="inlineStr">
        <x:is>
          <x:t xml:space="preserve">Basidiospores</x:t>
        </x:is>
      </x:c>
      <x:c r="G15" s="4" t="inlineStr">
        <x:is>
          <x:t xml:space="preserve">&gt;12000</x:t>
        </x:is>
      </x:c>
      <x:c r="H15" s="4" t="inlineStr">
        <x:is>
          <x:t xml:space="preserve">&gt;160000</x:t>
        </x:is>
      </x:c>
      <x:c r="I15" s="4" t="inlineStr">
        <x:is>
          <x:t xml:space="preserve">&gt;99%</x:t>
        </x:is>
      </x:c>
      <x:c r="J15" s="4" t="inlineStr">
        <x:is>
          <x:t xml:space="preserve">Heavy indoor basidiospore dominance with very high background</x:t>
        </x:is>
      </x:c>
    </x:row>
    <x:row r="16"/>
    <x:row r="17"/>
    <x:row r="18">
      <x:c r="A18" s="1" t="inlineStr">
        <x:is>
          <x:t xml:space="preserve">Direct ID Example Rows</x:t>
        </x:is>
      </x:c>
    </x:row>
    <x:row r="19">
      <x:c r="A19" s="7" t="inlineStr">
        <x:is>
          <x:t xml:space="preserve">sample_id</x:t>
        </x:is>
      </x:c>
      <x:c r="B19" s="7" t="inlineStr">
        <x:is>
          <x:t xml:space="preserve">sample_location</x:t>
        </x:is>
      </x:c>
      <x:c r="C19" s="7" t="inlineStr">
        <x:is>
          <x:t xml:space="preserve">sample_material_type</x:t>
        </x:is>
      </x:c>
      <x:c r="D19" s="7" t="inlineStr">
        <x:is>
          <x:t xml:space="preserve">organism_group</x:t>
        </x:is>
      </x:c>
      <x:c r="E19" s="7" t="inlineStr">
        <x:is>
          <x:t xml:space="preserve">estimated_amount</x:t>
        </x:is>
      </x:c>
      <x:c r="F19" s="7" t="inlineStr">
        <x:is>
          <x:t xml:space="preserve">growth_indication</x:t>
        </x:is>
      </x:c>
      <x:c r="G19" s="7" t="inlineStr">
        <x:is>
          <x:t xml:space="preserve">evidence_note</x:t>
        </x:is>
      </x:c>
      <x:c r="H19" s="7" t="inlineStr">
        <x:is>
          <x:t xml:space="preserve">ai_interpretation_note</x:t>
        </x:is>
      </x:c>
      <x:c r="I19" s="7" t="inlineStr">
        <x:is>
          <x:t xml:space="preserve">source_file</x:t>
        </x:is>
      </x:c>
      <x:c r="J19" s="7" t="inlineStr">
        <x:is>
          <x:t xml:space="preserve">project_name</x:t>
        </x:is>
      </x:c>
    </x:row>
    <x:row r="20">
      <x:c r="A20" s="4" t="inlineStr">
        <x:is>
          <x:t xml:space="preserve">21056763-004</x:t>
        </x:is>
      </x:c>
      <x:c r="B20" s="4" t="inlineStr">
        <x:is>
          <x:t xml:space="preserve">Exterior Side</x:t>
        </x:is>
      </x:c>
      <x:c r="C20" s="4" t="inlineStr">
        <x:is>
          <x:t xml:space="preserve">Bulk material</x:t>
        </x:is>
      </x:c>
      <x:c r="D20" s="4" t="inlineStr">
        <x:is>
          <x:t xml:space="preserve">Aspergillus/Penicillium</x:t>
        </x:is>
      </x:c>
      <x:c r="E20" s="4" t="inlineStr">
        <x:is>
          <x:t xml:space="preserve">Rare</x:t>
        </x:is>
      </x:c>
      <x:c r="F20" s="4" t="inlineStr">
        <x:is>
          <x:t xml:space="preserve">Not likely</x:t>
        </x:is>
      </x:c>
      <x:c r="G20" s="4" t="inlineStr">
        <x:is>
          <x:t xml:space="preserve">No clear mycelial / conidiophore evidence threshold</x:t>
        </x:is>
      </x:c>
      <x:c r="H20" s="4" t="inlineStr">
        <x:is>
          <x:t xml:space="preserve">Trace fungal evidence on bulk material</x:t>
        </x:is>
      </x:c>
      <x:c r="I20" s="4" t="inlineStr">
        <x:is>
          <x:t xml:space="preserve">21056763_Jaunich_20211020173423.pdf</x:t>
        </x:is>
      </x:c>
      <x:c r="J20" s="4" t="inlineStr">
        <x:is>
          <x:t xml:space="preserve">Jaunich</x:t>
        </x:is>
      </x:c>
    </x:row>
    <x:row r="21">
      <x:c r="A21" s="4" t="inlineStr">
        <x:is>
          <x:t xml:space="preserve">21056763-004</x:t>
        </x:is>
      </x:c>
      <x:c r="B21" s="4" t="inlineStr">
        <x:is>
          <x:t xml:space="preserve">Exterior Side</x:t>
        </x:is>
      </x:c>
      <x:c r="C21" s="4" t="inlineStr">
        <x:is>
          <x:t xml:space="preserve">Bulk material</x:t>
        </x:is>
      </x:c>
      <x:c r="D21" s="4" t="inlineStr">
        <x:is>
          <x:t xml:space="preserve">Basidiospores</x:t>
        </x:is>
      </x:c>
      <x:c r="E21" s="4" t="inlineStr">
        <x:is>
          <x:t xml:space="preserve">Moderate</x:t>
        </x:is>
      </x:c>
      <x:c r="F21" s="4" t="inlineStr">
        <x:is>
          <x:t xml:space="preserve">Probable</x:t>
        </x:is>
      </x:c>
      <x:c r="G21" s="4" t="inlineStr">
        <x:is>
          <x:t xml:space="preserve">Abundant evidence range</x:t>
        </x:is>
      </x:c>
      <x:c r="H21" s="4" t="inlineStr">
        <x:is>
          <x:t xml:space="preserve">Probable growth evidence on sampled material</x:t>
        </x:is>
      </x:c>
      <x:c r="I21" s="4" t="inlineStr">
        <x:is>
          <x:t xml:space="preserve">21056763_Jaunich_20211020173423.pdf</x:t>
        </x:is>
      </x:c>
      <x:c r="J21" s="4" t="inlineStr">
        <x:is>
          <x:t xml:space="preserve">Jaunich</x:t>
        </x:is>
      </x:c>
    </x:row>
    <x:row r="22">
      <x:c r="A22" s="4" t="inlineStr">
        <x:is>
          <x:t xml:space="preserve">21056763-005</x:t>
        </x:is>
      </x:c>
      <x:c r="B22" s="4" t="inlineStr">
        <x:is>
          <x:t xml:space="preserve">Wall At Beam</x:t>
        </x:is>
      </x:c>
      <x:c r="C22" s="4" t="inlineStr">
        <x:is>
          <x:t xml:space="preserve">Bulk material</x:t>
        </x:is>
      </x:c>
      <x:c r="D22" s="4" t="inlineStr">
        <x:is>
          <x:t xml:space="preserve">Aspergillus/Penicillium</x:t>
        </x:is>
      </x:c>
      <x:c r="E22" s="4" t="inlineStr">
        <x:is>
          <x:t xml:space="preserve">Light</x:t>
        </x:is>
      </x:c>
      <x:c r="F22" s="4" t="inlineStr">
        <x:is>
          <x:t xml:space="preserve">Possible</x:t>
        </x:is>
      </x:c>
      <x:c r="G22" s="4" t="inlineStr">
        <x:is>
          <x:t xml:space="preserve">Some evidence range</x:t>
        </x:is>
      </x:c>
      <x:c r="H22" s="4" t="inlineStr">
        <x:is>
          <x:t xml:space="preserve">Possible growth on bulk sample from beam area</x:t>
        </x:is>
      </x:c>
      <x:c r="I22" s="4" t="inlineStr">
        <x:is>
          <x:t xml:space="preserve">21056763_Jaunich_20211020173423.pdf</x:t>
        </x:is>
      </x:c>
      <x:c r="J22" s="4" t="inlineStr">
        <x:is>
          <x:t xml:space="preserve">Jaunich</x:t>
        </x:is>
      </x:c>
    </x:row>
    <x:row r="23">
      <x:c r="A23" s="4" t="inlineStr">
        <x:is>
          <x:t xml:space="preserve">21056763-005</x:t>
        </x:is>
      </x:c>
      <x:c r="B23" s="4" t="inlineStr">
        <x:is>
          <x:t xml:space="preserve">Wall At Beam</x:t>
        </x:is>
      </x:c>
      <x:c r="C23" s="4" t="inlineStr">
        <x:is>
          <x:t xml:space="preserve">Bulk material</x:t>
        </x:is>
      </x:c>
      <x:c r="D23" s="4" t="inlineStr">
        <x:is>
          <x:t xml:space="preserve">Basidiospores</x:t>
        </x:is>
      </x:c>
      <x:c r="E23" s="4" t="inlineStr">
        <x:is>
          <x:t xml:space="preserve">Light</x:t>
        </x:is>
      </x:c>
      <x:c r="F23" s="4" t="inlineStr">
        <x:is>
          <x:t xml:space="preserve">Possible</x:t>
        </x:is>
      </x:c>
      <x:c r="G23" s="4" t="inlineStr">
        <x:is>
          <x:t xml:space="preserve">Some evidence range</x:t>
        </x:is>
      </x:c>
      <x:c r="H23" s="4" t="inlineStr">
        <x:is>
          <x:t xml:space="preserve">Possible growth on bulk sample from beam area</x:t>
        </x:is>
      </x:c>
      <x:c r="I23" s="4" t="inlineStr">
        <x:is>
          <x:t xml:space="preserve">21056763_Jaunich_20211020173423.pdf</x:t>
        </x:is>
      </x:c>
      <x:c r="J23" s="4" t="inlineStr">
        <x:is>
          <x:t xml:space="preserve">Jaunich</x:t>
        </x:is>
      </x:c>
    </x:row>
    <x:row r="24">
      <x:c r="A24" s="4" t="inlineStr">
        <x:is>
          <x:t xml:space="preserve">21056763-006</x:t>
        </x:is>
      </x:c>
      <x:c r="B24" s="4" t="inlineStr">
        <x:is>
          <x:t xml:space="preserve">Beam Inside</x:t>
        </x:is>
      </x:c>
      <x:c r="C24" s="4" t="inlineStr">
        <x:is>
          <x:t xml:space="preserve">Bulk material</x:t>
        </x:is>
      </x:c>
      <x:c r="D24" s="4" t="inlineStr">
        <x:is>
          <x:t xml:space="preserve">Basidiospores</x:t>
        </x:is>
      </x:c>
      <x:c r="E24" s="4" t="inlineStr">
        <x:is>
          <x:t xml:space="preserve">Heavy</x:t>
        </x:is>
      </x:c>
      <x:c r="F24" s="4" t="inlineStr">
        <x:is>
          <x:t xml:space="preserve">Significant</x:t>
        </x:is>
      </x:c>
      <x:c r="G24" s="4" t="inlineStr">
        <x:is>
          <x:t xml:space="preserve">Throughout sample</x:t>
        </x:is>
      </x:c>
      <x:c r="H24" s="4" t="inlineStr">
        <x:is>
          <x:t xml:space="preserve">Significant growth evidence on beam sample</x:t>
        </x:is>
      </x:c>
      <x:c r="I24" s="4" t="inlineStr">
        <x:is>
          <x:t xml:space="preserve">21056763_Jaunich_20211020173423.pdf</x:t>
        </x:is>
      </x:c>
      <x:c r="J24" s="4" t="inlineStr">
        <x:is>
          <x:t xml:space="preserve">Jaunich</x:t>
        </x:is>
      </x:c>
    </x:row>
    <x:row r="25">
      <x:c r="A25" s="4" t="inlineStr">
        <x:is>
          <x:t xml:space="preserve">21056763-007</x:t>
        </x:is>
      </x:c>
      <x:c r="B25" s="4" t="inlineStr">
        <x:is>
          <x:t xml:space="preserve">Window</x:t>
        </x:is>
      </x:c>
      <x:c r="C25" s="4" t="inlineStr">
        <x:is>
          <x:t xml:space="preserve">Bulk material</x:t>
        </x:is>
      </x:c>
      <x:c r="D25" s="4" t="inlineStr">
        <x:is>
          <x:t xml:space="preserve">Basidiospores</x:t>
        </x:is>
      </x:c>
      <x:c r="E25" s="4" t="inlineStr">
        <x:is>
          <x:t xml:space="preserve">Moderate</x:t>
        </x:is>
      </x:c>
      <x:c r="F25" s="4" t="inlineStr">
        <x:is>
          <x:t xml:space="preserve">Probable</x:t>
        </x:is>
      </x:c>
      <x:c r="G25" s="4" t="inlineStr">
        <x:is>
          <x:t xml:space="preserve">Abundant evidence range</x:t>
        </x:is>
      </x:c>
      <x:c r="H25" s="4" t="inlineStr">
        <x:is>
          <x:t xml:space="preserve">Probable growth evidence on window sample</x:t>
        </x:is>
      </x:c>
      <x:c r="I25" s="4" t="inlineStr">
        <x:is>
          <x:t xml:space="preserve">21056763_Jaunich_20211020173423.pdf</x:t>
        </x:is>
      </x:c>
      <x:c r="J25" s="4" t="inlineStr">
        <x:is>
          <x:t xml:space="preserve">Jaunich</x:t>
        </x:is>
      </x:c>
    </x:row>
    <x:row r="26">
      <x:c r="A26" s="4" t="inlineStr">
        <x:is>
          <x:t xml:space="preserve">21056763-007</x:t>
        </x:is>
      </x:c>
      <x:c r="B26" s="4" t="inlineStr">
        <x:is>
          <x:t xml:space="preserve">Window</x:t>
        </x:is>
      </x:c>
      <x:c r="C26" s="4" t="inlineStr">
        <x:is>
          <x:t xml:space="preserve">Bulk material</x:t>
        </x:is>
      </x:c>
      <x:c r="D26" s="4" t="inlineStr">
        <x:is>
          <x:t xml:space="preserve">Cladosporium species</x:t>
        </x:is>
      </x:c>
      <x:c r="E26" s="4" t="inlineStr">
        <x:is>
          <x:t xml:space="preserve">Rare</x:t>
        </x:is>
      </x:c>
      <x:c r="F26" s="4" t="inlineStr">
        <x:is>
          <x:t xml:space="preserve">Not likely</x:t>
        </x:is>
      </x:c>
      <x:c r="G26" s="4" t="inlineStr">
        <x:is>
          <x:t xml:space="preserve">No clear mycelial / conidiophore evidence threshold</x:t>
        </x:is>
      </x:c>
      <x:c r="H26" s="4" t="inlineStr">
        <x:is>
          <x:t xml:space="preserve">Trace cladosporium evidence on window sample</x:t>
        </x:is>
      </x:c>
      <x:c r="I26" s="4" t="inlineStr">
        <x:is>
          <x:t xml:space="preserve">21056763_Jaunich_20211020173423.pdf</x:t>
        </x:is>
      </x:c>
      <x:c r="J26" s="4" t="inlineStr">
        <x:is>
          <x:t xml:space="preserve">Jaunich</x:t>
        </x:is>
      </x:c>
    </x:row>
    <x:row r="27"/>
    <x:row r="28">
      <x:c r="A28" s="10" t="inlineStr">
        <x:is>
          <x:t xml:space="preserve">AEMTEK Air Sample Example Rows</x:t>
        </x:is>
      </x:c>
      <x:c r="B28" s="10" t="n"/>
      <x:c r="C28" s="10" t="n"/>
      <x:c r="D28" s="10" t="n"/>
      <x:c r="E28" s="10" t="n"/>
      <x:c r="F28" s="10" t="n"/>
      <x:c r="G28" s="10" t="n"/>
      <x:c r="H28" s="10" t="n"/>
      <x:c r="I28" s="10" t="n"/>
      <x:c r="J28" s="10" t="n"/>
    </x:row>
    <x:row r="29">
      <x:c r="A29" s="31" t="inlineStr">
        <x:is>
          <x:t xml:space="preserve">sample_id</x:t>
        </x:is>
      </x:c>
      <x:c r="B29" s="31" t="inlineStr">
        <x:is>
          <x:t xml:space="preserve">sample_location</x:t>
        </x:is>
      </x:c>
      <x:c r="C29" s="31" t="inlineStr">
        <x:is>
          <x:t xml:space="preserve">sample_type</x:t>
        </x:is>
      </x:c>
      <x:c r="D29" s="31" t="inlineStr">
        <x:is>
          <x:t xml:space="preserve">volume_l</x:t>
        </x:is>
      </x:c>
      <x:c r="E29" s="31" t="inlineStr">
        <x:is>
          <x:t xml:space="preserve">background_density</x:t>
        </x:is>
      </x:c>
      <x:c r="F29" s="31" t="inlineStr">
        <x:is>
          <x:t xml:space="preserve">organism</x:t>
        </x:is>
      </x:c>
      <x:c r="G29" s="31" t="inlineStr">
        <x:is>
          <x:t xml:space="preserve">raw_count</x:t>
        </x:is>
      </x:c>
      <x:c r="H29" s="31" t="inlineStr">
        <x:is>
          <x:t xml:space="preserve">count_per_m3</x:t>
        </x:is>
      </x:c>
      <x:c r="I29" s="31" t="inlineStr">
        <x:is>
          <x:t xml:space="preserve">percent_of_total</x:t>
        </x:is>
      </x:c>
      <x:c r="J29" s="31" t="inlineStr">
        <x:is>
          <x:t xml:space="preserve">ai_interpretation_note</x:t>
        </x:is>
      </x:c>
    </x:row>
    <x:row r="30">
      <x:c r="A30" t="inlineStr">
        <x:is>
          <x:t xml:space="preserve">23671241</x:t>
        </x:is>
      </x:c>
      <x:c r="B30" t="inlineStr">
        <x:is>
          <x:t xml:space="preserve">Downstairs Bedroom</x:t>
        </x:is>
      </x:c>
      <x:c r="C30" t="inlineStr">
        <x:is>
          <x:t xml:space="preserve">Spore Slit Impaction Cassette</x:t>
        </x:is>
      </x:c>
      <x:c r="D30" t="n">
        <x:v>75</x:v>
      </x:c>
      <x:c r="E30" t="inlineStr">
        <x:is>
          <x:t xml:space="preserve">26-50%</x:t>
        </x:is>
      </x:c>
      <x:c r="F30" t="inlineStr">
        <x:is>
          <x:t xml:space="preserve">Aspergillus/Penicillium-like</x:t>
        </x:is>
      </x:c>
      <x:c r="G30" t="n">
        <x:v>7</x:v>
      </x:c>
      <x:c r="H30" t="n">
        <x:v>91</x:v>
      </x:c>
      <x:c r="I30" t="inlineStr">
        <x:is>
          <x:t xml:space="preserve">44%</x:t>
        </x:is>
      </x:c>
      <x:c r="J30" t="inlineStr">
        <x:is>
          <x:t xml:space="preserve">Indoor dominant genus but still below total outdoor load</x:t>
        </x:is>
      </x:c>
    </x:row>
    <x:row r="31">
      <x:c r="A31" t="inlineStr">
        <x:is>
          <x:t xml:space="preserve">23671140</x:t>
        </x:is>
      </x:c>
      <x:c r="B31" t="inlineStr">
        <x:is>
          <x:t xml:space="preserve">Downstairs Bathroom</x:t>
        </x:is>
      </x:c>
      <x:c r="C31" t="inlineStr">
        <x:is>
          <x:t xml:space="preserve">Spore Slit Impaction Cassette</x:t>
        </x:is>
      </x:c>
      <x:c r="D31" t="n">
        <x:v>75</x:v>
      </x:c>
      <x:c r="E31" t="inlineStr">
        <x:is>
          <x:t xml:space="preserve">51-75%</x:t>
        </x:is>
      </x:c>
      <x:c r="F31" t="inlineStr">
        <x:is>
          <x:t xml:space="preserve">Aspergillus/Penicillium-like</x:t>
        </x:is>
      </x:c>
      <x:c r="G31" t="n">
        <x:v>19</x:v>
      </x:c>
      <x:c r="H31" t="n">
        <x:v>247</x:v>
      </x:c>
      <x:c r="I31" t="inlineStr">
        <x:is>
          <x:t xml:space="preserve">25%</x:t>
        </x:is>
      </x:c>
      <x:c r="J31" t="inlineStr">
        <x:is>
          <x:t xml:space="preserve">Bathroom A/P-like is higher than outdoor A/P-like and merits concern</x:t>
        </x:is>
      </x:c>
    </x:row>
    <x:row r="32">
      <x:c r="A32" t="inlineStr">
        <x:is>
          <x:t xml:space="preserve">23671140</x:t>
        </x:is>
      </x:c>
      <x:c r="B32" t="inlineStr">
        <x:is>
          <x:t xml:space="preserve">Downstairs Bathroom</x:t>
        </x:is>
      </x:c>
      <x:c r="C32" t="inlineStr">
        <x:is>
          <x:t xml:space="preserve">Spore Slit Impaction Cassette</x:t>
        </x:is>
      </x:c>
      <x:c r="D32" t="n">
        <x:v>75</x:v>
      </x:c>
      <x:c r="E32" t="inlineStr">
        <x:is>
          <x:t xml:space="preserve">51-75%</x:t>
        </x:is>
      </x:c>
      <x:c r="F32" t="inlineStr">
        <x:is>
          <x:t xml:space="preserve">Stachybotrys</x:t>
        </x:is>
      </x:c>
      <x:c r="G32" t="n">
        <x:v>2</x:v>
      </x:c>
      <x:c r="H32" t="n">
        <x:v>26</x:v>
      </x:c>
      <x:c r="I32" t="inlineStr">
        <x:is>
          <x:t xml:space="preserve">3%</x:t>
        </x:is>
      </x:c>
      <x:c r="J32" t="inlineStr">
        <x:is>
          <x:t xml:space="preserve">Even low Stachybotrys counts indoors should elevate caution</x:t>
        </x:is>
      </x:c>
    </x:row>
    <x:row r="33">
      <x:c r="A33" t="inlineStr">
        <x:is>
          <x:t xml:space="preserve">23671229</x:t>
        </x:is>
      </x:c>
      <x:c r="B33" t="inlineStr">
        <x:is>
          <x:t xml:space="preserve">Outside (ambient)</x:t>
        </x:is>
      </x:c>
      <x:c r="C33" t="inlineStr">
        <x:is>
          <x:t xml:space="preserve">Spore Slit Impaction Cassette</x:t>
        </x:is>
      </x:c>
      <x:c r="D33" t="n">
        <x:v>75</x:v>
      </x:c>
      <x:c r="E33" t="inlineStr">
        <x:is>
          <x:t xml:space="preserve">51-75%</x:t>
        </x:is>
      </x:c>
      <x:c r="F33" t="inlineStr">
        <x:is>
          <x:t xml:space="preserve">Cladosporium</x:t>
        </x:is>
      </x:c>
      <x:c r="G33" t="n">
        <x:v>39</x:v>
      </x:c>
      <x:c r="H33" t="n">
        <x:v>507</x:v>
      </x:c>
      <x:c r="I33" t="inlineStr">
        <x:is>
          <x:t xml:space="preserve">22%</x:t>
        </x:is>
      </x:c>
      <x:c r="J33" t="inlineStr">
        <x:is>
          <x:t xml:space="preserve">Outdoor baseline reference</x:t>
        </x:is>
      </x:c>
    </x:row>
  </x:sheetData>
  <x:mergeCells>
    <x:mergeCell ref="A1:J1"/>
    <x:mergeCell ref="A4:J4"/>
    <x:mergeCell ref="A18:J18"/>
    <x:mergeCell ref="A2:J2"/>
  </x:mergeCells>
  <x:pageMargins left="0.7" right="0.7" top="0.75" bottom="0.75" header="0.3" footer="0.3"/>
  <x:legacyDrawing xmlns:r="http://schemas.openxmlformats.org/officeDocument/2006/relationships" r:id="R561fb47aeabd4096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8" customWidth="1"/>
    <x:col min="3" max="3" width="24" customWidth="1"/>
    <x:col min="4" max="4" width="25" customWidth="1"/>
    <x:col min="5" max="5" width="28" customWidth="1"/>
    <x:col min="6" max="6" width="21" customWidth="1"/>
    <x:col min="7" max="7" width="28" customWidth="1"/>
    <x:col min="8" max="8" width="24" customWidth="1"/>
    <x:col min="9" max="9" width="21" customWidth="1"/>
    <x:col min="10" max="10" width="18" customWidth="1"/>
    <x:col min="11" max="11" width="22" customWidth="1"/>
    <x:col min="12" max="12" width="28" customWidth="1"/>
  </x:cols>
  <x:sheetData>
    <x:row r="1">
      <x:c r="A1" s="25" t="inlineStr">
        <x:is>
          <x:t xml:space="preserve">Home Health AI – Control Center</x:t>
        </x:is>
      </x:c>
    </x:row>
    <x:row r="2">
      <x:c r="A2" s="32" t="inlineStr">
        <x:is>
          <x:t xml:space="preserve">Editable scenarios for testing the scoring engine and app logic.</x:t>
        </x:is>
      </x:c>
    </x:row>
    <x:row r="3"/>
    <x:row r="4">
      <x:c r="A4" s="33" t="inlineStr">
        <x:is>
          <x:t xml:space="preserve">scenario_id</x:t>
        </x:is>
      </x:c>
      <x:c r="B4" s="33" t="inlineStr">
        <x:is>
          <x:t xml:space="preserve">scenario_name</x:t>
        </x:is>
      </x:c>
      <x:c r="C4" s="33" t="inlineStr">
        <x:is>
          <x:t xml:space="preserve">indoor_total_spores_m3</x:t>
        </x:is>
      </x:c>
      <x:c r="D4" s="33" t="inlineStr">
        <x:is>
          <x:t xml:space="preserve">outdoor_total_spores_m3</x:t>
        </x:is>
      </x:c>
      <x:c r="E4" s="33" t="inlineStr">
        <x:is>
          <x:t xml:space="preserve">dominant_group</x:t>
        </x:is>
      </x:c>
      <x:c r="F4" s="33" t="inlineStr">
        <x:is>
          <x:t xml:space="preserve">marker_mold_present</x:t>
        </x:is>
      </x:c>
      <x:c r="G4" s="33" t="inlineStr">
        <x:is>
          <x:t xml:space="preserve">mycotoxin_producer_present</x:t>
        </x:is>
      </x:c>
      <x:c r="H4" s="33" t="inlineStr">
        <x:is>
          <x:t xml:space="preserve">visible_growth_present</x:t>
        </x:is>
      </x:c>
      <x:c r="I4" s="33" t="inlineStr">
        <x:is>
          <x:t xml:space="preserve">porous_material_wet</x:t>
        </x:is>
      </x:c>
      <x:c r="J4" s="33" t="inlineStr">
        <x:is>
          <x:t xml:space="preserve">humidity_percent</x:t>
        </x:is>
      </x:c>
      <x:c r="K4" s="33" t="inlineStr">
        <x:is>
          <x:t xml:space="preserve">occupant_sensitivity</x:t>
        </x:is>
      </x:c>
      <x:c r="L4" s="33" t="inlineStr">
        <x:is>
          <x:t xml:space="preserve">recommended_action_target</x:t>
        </x:is>
      </x:c>
    </x:row>
    <x:row r="5">
      <x:c r="A5" t="inlineStr">
        <x:is>
          <x:t xml:space="preserve">SCN-001</x:t>
        </x:is>
      </x:c>
      <x:c r="B5" t="inlineStr">
        <x:is>
          <x:t xml:space="preserve">Clean baseline interior</x:t>
        </x:is>
      </x:c>
      <x:c r="C5" s="34" t="n">
        <x:v>220</x:v>
      </x:c>
      <x:c r="D5" s="34" t="n">
        <x:v>1800</x:v>
      </x:c>
      <x:c r="E5" t="inlineStr">
        <x:is>
          <x:t xml:space="preserve">Cladosporium</x:t>
        </x:is>
      </x:c>
      <x:c r="F5" t="inlineStr">
        <x:is>
          <x:t xml:space="preserve">No</x:t>
        </x:is>
      </x:c>
      <x:c r="G5" t="inlineStr">
        <x:is>
          <x:t xml:space="preserve">No</x:t>
        </x:is>
      </x:c>
      <x:c r="H5" t="inlineStr">
        <x:is>
          <x:t xml:space="preserve">No</x:t>
        </x:is>
      </x:c>
      <x:c r="I5" t="inlineStr">
        <x:is>
          <x:t xml:space="preserve">No</x:t>
        </x:is>
      </x:c>
      <x:c r="J5" t="n">
        <x:v>48</x:v>
      </x:c>
      <x:c r="K5" t="inlineStr">
        <x:is>
          <x:t xml:space="preserve">Standard</x:t>
        </x:is>
      </x:c>
      <x:c r="L5" t="inlineStr">
        <x:is>
          <x:t xml:space="preserve">Monitor / educate</x:t>
        </x:is>
      </x:c>
    </x:row>
    <x:row r="6">
      <x:c r="A6" t="inlineStr">
        <x:is>
          <x:t xml:space="preserve">SCN-002</x:t>
        </x:is>
      </x:c>
      <x:c r="B6" t="inlineStr">
        <x:is>
          <x:t xml:space="preserve">Possible bathroom amplification</x:t>
        </x:is>
      </x:c>
      <x:c r="C6" s="34" t="n">
        <x:v>988</x:v>
      </x:c>
      <x:c r="D6" s="34" t="n">
        <x:v>2314</x:v>
      </x:c>
      <x:c r="E6" t="inlineStr">
        <x:is>
          <x:t xml:space="preserve">Aspergillus/Penicillium-like</x:t>
        </x:is>
      </x:c>
      <x:c r="F6" t="inlineStr">
        <x:is>
          <x:t xml:space="preserve">Yes</x:t>
        </x:is>
      </x:c>
      <x:c r="G6" t="inlineStr">
        <x:is>
          <x:t xml:space="preserve">Yes</x:t>
        </x:is>
      </x:c>
      <x:c r="H6" t="inlineStr">
        <x:is>
          <x:t xml:space="preserve">Yes</x:t>
        </x:is>
      </x:c>
      <x:c r="I6" t="inlineStr">
        <x:is>
          <x:t xml:space="preserve">Yes</x:t>
        </x:is>
      </x:c>
      <x:c r="J6" t="n">
        <x:v>68</x:v>
      </x:c>
      <x:c r="K6" t="inlineStr">
        <x:is>
          <x:t xml:space="preserve">Sensitive</x:t>
        </x:is>
      </x:c>
      <x:c r="L6" t="inlineStr">
        <x:is>
          <x:t xml:space="preserve">Professional inspection</x:t>
        </x:is>
      </x:c>
    </x:row>
    <x:row r="7">
      <x:c r="A7" t="inlineStr">
        <x:is>
          <x:t xml:space="preserve">SCN-003</x:t>
        </x:is>
      </x:c>
      <x:c r="B7" t="inlineStr">
        <x:is>
          <x:t xml:space="preserve">High concern water-damage pattern</x:t>
        </x:is>
      </x:c>
      <x:c r="C7" s="34" t="n">
        <x:v>16053</x:v>
      </x:c>
      <x:c r="D7" s="34" t="n">
        <x:v>11893</x:v>
      </x:c>
      <x:c r="E7" t="inlineStr">
        <x:is>
          <x:t xml:space="preserve">Basidiospores + water-damage indicators</x:t>
        </x:is>
      </x:c>
      <x:c r="F7" t="inlineStr">
        <x:is>
          <x:t xml:space="preserve">Yes</x:t>
        </x:is>
      </x:c>
      <x:c r="G7" t="inlineStr">
        <x:is>
          <x:t xml:space="preserve">Yes</x:t>
        </x:is>
      </x:c>
      <x:c r="H7" t="inlineStr">
        <x:is>
          <x:t xml:space="preserve">Yes</x:t>
        </x:is>
      </x:c>
      <x:c r="I7" t="inlineStr">
        <x:is>
          <x:t xml:space="preserve">Yes</x:t>
        </x:is>
      </x:c>
      <x:c r="J7" t="n">
        <x:v>75</x:v>
      </x:c>
      <x:c r="K7" t="inlineStr">
        <x:is>
          <x:t xml:space="preserve">Sensitive</x:t>
        </x:is>
      </x:c>
      <x:c r="L7" t="inlineStr">
        <x:is>
          <x:t xml:space="preserve">Contain + inspect</x:t>
        </x:is>
      </x:c>
    </x:row>
    <x:row r="8">
      <x:c r="A8" t="inlineStr">
        <x:is>
          <x:t xml:space="preserve">SCN-004</x:t>
        </x:is>
      </x:c>
      <x:c r="B8" t="inlineStr">
        <x:is>
          <x:t xml:space="preserve">Humidity-driven but low visible concern</x:t>
        </x:is>
      </x:c>
      <x:c r="C8" s="34" t="n">
        <x:v>520</x:v>
      </x:c>
      <x:c r="D8" s="34" t="n">
        <x:v>1100</x:v>
      </x:c>
      <x:c r="E8" t="inlineStr">
        <x:is>
          <x:t xml:space="preserve">Cladosporium</x:t>
        </x:is>
      </x:c>
      <x:c r="F8" t="inlineStr">
        <x:is>
          <x:t xml:space="preserve">No</x:t>
        </x:is>
      </x:c>
      <x:c r="G8" t="inlineStr">
        <x:is>
          <x:t xml:space="preserve">No</x:t>
        </x:is>
      </x:c>
      <x:c r="H8" t="inlineStr">
        <x:is>
          <x:t xml:space="preserve">No</x:t>
        </x:is>
      </x:c>
      <x:c r="I8" t="inlineStr">
        <x:is>
          <x:t xml:space="preserve">No</x:t>
        </x:is>
      </x:c>
      <x:c r="J8" t="n">
        <x:v>61</x:v>
      </x:c>
      <x:c r="K8" t="inlineStr">
        <x:is>
          <x:t xml:space="preserve">Standard</x:t>
        </x:is>
      </x:c>
      <x:c r="L8" t="inlineStr">
        <x:is>
          <x:t xml:space="preserve">Dry / monitor</x:t>
        </x:is>
      </x:c>
    </x:row>
    <x:row r="9">
      <x:c r="A9" t="inlineStr">
        <x:is>
          <x:t xml:space="preserve">SCN-005</x:t>
        </x:is>
      </x:c>
      <x:c r="B9" t="inlineStr">
        <x:is>
          <x:t xml:space="preserve">Questionable photo-only colony</x:t>
        </x:is>
      </x:c>
      <x:c r="C9" s="34" t="n">
        <x:v>0</x:v>
      </x:c>
      <x:c r="D9" s="34" t="n">
        <x:v>0</x:v>
      </x:c>
      <x:c r="E9" t="inlineStr">
        <x:is>
          <x:t xml:space="preserve">Unknown</x:t>
        </x:is>
      </x:c>
      <x:c r="F9" t="inlineStr">
        <x:is>
          <x:t xml:space="preserve">No</x:t>
        </x:is>
      </x:c>
      <x:c r="G9" t="inlineStr">
        <x:is>
          <x:t xml:space="preserve">Unknown</x:t>
        </x:is>
      </x:c>
      <x:c r="H9" t="inlineStr">
        <x:is>
          <x:t xml:space="preserve">Yes</x:t>
        </x:is>
      </x:c>
      <x:c r="I9" t="inlineStr">
        <x:is>
          <x:t xml:space="preserve">Unknown</x:t>
        </x:is>
      </x:c>
      <x:c r="J9" t="n">
        <x:v>65</x:v>
      </x:c>
      <x:c r="K9" t="inlineStr">
        <x:is>
          <x:t xml:space="preserve">Sensitive</x:t>
        </x:is>
      </x:c>
      <x:c r="L9" t="inlineStr">
        <x:is>
          <x:t xml:space="preserve">Photo QA / schedule inspection</x:t>
        </x:is>
      </x:c>
    </x:row>
  </x:sheetData>
  <x:mergeCells>
    <x:mergeCell ref="A2:L2"/>
    <x:mergeCell ref="A1:L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1" customWidth="1"/>
    <x:col min="3" max="3" width="14" customWidth="1"/>
    <x:col min="4" max="4" width="21" customWidth="1"/>
    <x:col min="5" max="5" width="19" customWidth="1"/>
    <x:col min="6" max="6" width="30" customWidth="1"/>
    <x:col min="7" max="7" width="14" customWidth="1"/>
    <x:col min="8" max="8" width="23" customWidth="1"/>
    <x:col min="9" max="9" width="15" customWidth="1"/>
    <x:col min="10" max="10" width="18" customWidth="1"/>
    <x:col min="11" max="11" width="30" customWidth="1"/>
    <x:col min="12" max="12" width="11" customWidth="1"/>
    <x:col min="13" max="13" width="15" customWidth="1"/>
    <x:col min="14" max="14" width="18" customWidth="1"/>
    <x:col min="15" max="15" width="25" customWidth="1"/>
    <x:col min="16" max="16" width="24" customWidth="1"/>
    <x:col min="17" max="17" width="24" customWidth="1"/>
    <x:col min="18" max="18" width="30" customWidth="1"/>
    <x:col min="19" max="19" width="30" customWidth="1"/>
    <x:col min="20" max="20" width="30" customWidth="1"/>
  </x:cols>
  <x:sheetData>
    <x:row r="1">
      <x:c r="A1" s="25" t="inlineStr">
        <x:is>
          <x:t xml:space="preserve">Home Health AI – Real Lab Data Training</x:t>
        </x:is>
      </x:c>
    </x:row>
    <x:row r="2">
      <x:c r="A2" s="32" t="inlineStr">
        <x:is>
          <x:t xml:space="preserve">Normalized rows from uploaded SanAir and AEMTEK reports for model calibration and QA.</x:t>
        </x:is>
      </x:c>
    </x:row>
    <x:row r="3"/>
    <x:row r="4">
      <x:c r="A4" s="31" t="inlineStr">
        <x:is>
          <x:t xml:space="preserve">source_report</x:t>
        </x:is>
      </x:c>
      <x:c r="B4" s="31" t="inlineStr">
        <x:is>
          <x:t xml:space="preserve">report_id</x:t>
        </x:is>
      </x:c>
      <x:c r="C4" s="31" t="inlineStr">
        <x:is>
          <x:t xml:space="preserve">sample_id</x:t>
        </x:is>
      </x:c>
      <x:c r="D4" s="31" t="inlineStr">
        <x:is>
          <x:t xml:space="preserve">sample_location</x:t>
        </x:is>
      </x:c>
      <x:c r="E4" s="31" t="inlineStr">
        <x:is>
          <x:t xml:space="preserve">indoor_or_outdoor</x:t>
        </x:is>
      </x:c>
      <x:c r="F4" s="31" t="inlineStr">
        <x:is>
          <x:t xml:space="preserve">sample_method</x:t>
        </x:is>
      </x:c>
      <x:c r="G4" s="31" t="inlineStr">
        <x:is>
          <x:t xml:space="preserve">air_volume_l</x:t>
        </x:is>
      </x:c>
      <x:c r="H4" s="31" t="inlineStr">
        <x:is>
          <x:t xml:space="preserve">background_or_density</x:t>
        </x:is>
      </x:c>
      <x:c r="I4" s="31" t="inlineStr">
        <x:is>
          <x:t xml:space="preserve">temperature_f</x:t>
        </x:is>
      </x:c>
      <x:c r="J4" s="31" t="inlineStr">
        <x:is>
          <x:t xml:space="preserve">humidity_percent</x:t>
        </x:is>
      </x:c>
      <x:c r="K4" s="31" t="inlineStr">
        <x:is>
          <x:t xml:space="preserve">spore_type</x:t>
        </x:is>
      </x:c>
      <x:c r="L4" s="31" t="inlineStr">
        <x:is>
          <x:t xml:space="preserve">raw_count</x:t>
        </x:is>
      </x:c>
      <x:c r="M4" s="31" t="inlineStr">
        <x:is>
          <x:t xml:space="preserve">spores_per_m3</x:t>
        </x:is>
      </x:c>
      <x:c r="N4" s="31" t="inlineStr">
        <x:is>
          <x:t xml:space="preserve">percent_of_total</x:t>
        </x:is>
      </x:c>
      <x:c r="O4" s="31" t="inlineStr">
        <x:is>
          <x:t xml:space="preserve">ai_visual_group</x:t>
        </x:is>
      </x:c>
      <x:c r="P4" s="31" t="inlineStr">
        <x:is>
          <x:t xml:space="preserve">water_damage_indicator</x:t>
        </x:is>
      </x:c>
      <x:c r="Q4" s="31" t="inlineStr">
        <x:is>
          <x:t xml:space="preserve">count_vs_outdoor_ratio</x:t>
        </x:is>
      </x:c>
      <x:c r="R4" s="31" t="inlineStr">
        <x:is>
          <x:t xml:space="preserve">rule_based_interpretation</x:t>
        </x:is>
      </x:c>
      <x:c r="S4" s="31" t="inlineStr">
        <x:is>
          <x:t xml:space="preserve">source_file</x:t>
        </x:is>
      </x:c>
      <x:c r="T4" s="31" t="inlineStr">
        <x:is>
          <x:t xml:space="preserve">source_note</x:t>
        </x:is>
      </x:c>
    </x:row>
    <x:row r="5">
      <x:c r="A5" t="inlineStr">
        <x:is>
          <x:t xml:space="preserve">SanAir</x:t>
        </x:is>
      </x:c>
      <x:c r="B5" t="inlineStr">
        <x:is>
          <x:t xml:space="preserve">21056763</x:t>
        </x:is>
      </x:c>
      <x:c r="C5" t="inlineStr">
        <x:is>
          <x:t xml:space="preserve">21056763-001</x:t>
        </x:is>
      </x:c>
      <x:c r="D5" t="inlineStr">
        <x:is>
          <x:t xml:space="preserve">Exterior</x:t>
        </x:is>
      </x:c>
      <x:c r="E5" t="inlineStr">
        <x:is>
          <x:t xml:space="preserve">Outdoor</x:t>
        </x:is>
      </x:c>
      <x:c r="F5" t="inlineStr">
        <x:is>
          <x:t xml:space="preserve">Air-O-Cell</x:t>
        </x:is>
      </x:c>
      <x:c r="G5" s="34" t="n">
        <x:v>75</x:v>
      </x:c>
      <x:c r="H5" t="inlineStr">
        <x:is>
          <x:t xml:space="preserve">2</x:t>
        </x:is>
      </x:c>
      <x:c r="I5" s="35" t="n"/>
      <x:c r="J5" s="35" t="n"/>
      <x:c r="K5" t="inlineStr">
        <x:is>
          <x:t xml:space="preserve">Alternaria species</x:t>
        </x:is>
      </x:c>
      <x:c r="L5" s="34" t="n">
        <x:v>2</x:v>
      </x:c>
      <x:c r="M5" s="34" t="n">
        <x:v>27</x:v>
      </x:c>
      <x:c r="N5" t="inlineStr">
        <x:is>
          <x:t xml:space="preserve">&lt;1%</x:t>
        </x:is>
      </x:c>
      <x:c r="O5" t="inlineStr">
        <x:is>
          <x:t xml:space="preserve">Alternaria</x:t>
        </x:is>
      </x:c>
      <x:c r="P5" t="inlineStr">
        <x:is>
          <x:t xml:space="preserve">Low</x:t>
        </x:is>
      </x:c>
      <x:c r="Q5" t="n">
        <x:v>1</x:v>
      </x:c>
      <x:c r="R5" t="inlineStr">
        <x:is>
          <x:t xml:space="preserve">Exterior baseline outdoor-type detection</x:t>
        </x:is>
      </x:c>
      <x:c r="S5" t="inlineStr">
        <x:is>
          <x:t xml:space="preserve">21056763_Jaunich_20211020173423.pdf</x:t>
        </x:is>
      </x:c>
      <x:c r="T5" t="inlineStr">
        <x:is>
          <x:t xml:space="preserve">Page 3 exterior baseline</x:t>
        </x:is>
      </x:c>
    </x:row>
    <x:row r="6">
      <x:c r="A6" t="inlineStr">
        <x:is>
          <x:t xml:space="preserve">SanAir</x:t>
        </x:is>
      </x:c>
      <x:c r="B6" t="inlineStr">
        <x:is>
          <x:t xml:space="preserve">21056763</x:t>
        </x:is>
      </x:c>
      <x:c r="C6" t="inlineStr">
        <x:is>
          <x:t xml:space="preserve">21056763-001</x:t>
        </x:is>
      </x:c>
      <x:c r="D6" t="inlineStr">
        <x:is>
          <x:t xml:space="preserve">Exterior</x:t>
        </x:is>
      </x:c>
      <x:c r="E6" t="inlineStr">
        <x:is>
          <x:t xml:space="preserve">Outdoor</x:t>
        </x:is>
      </x:c>
      <x:c r="F6" t="inlineStr">
        <x:is>
          <x:t xml:space="preserve">Air-O-Cell</x:t>
        </x:is>
      </x:c>
      <x:c r="G6" s="34" t="n">
        <x:v>75</x:v>
      </x:c>
      <x:c r="H6" t="inlineStr">
        <x:is>
          <x:t xml:space="preserve">2</x:t>
        </x:is>
      </x:c>
      <x:c r="I6" s="35" t="n"/>
      <x:c r="J6" s="35" t="n"/>
      <x:c r="K6" t="inlineStr">
        <x:is>
          <x:t xml:space="preserve">Ascospores</x:t>
        </x:is>
      </x:c>
      <x:c r="L6" s="34" t="n">
        <x:v>882</x:v>
      </x:c>
      <x:c r="M6" s="34" t="n">
        <x:v>11760</x:v>
      </x:c>
      <x:c r="N6" t="inlineStr">
        <x:is>
          <x:t xml:space="preserve">99%</x:t>
        </x:is>
      </x:c>
      <x:c r="O6" t="inlineStr">
        <x:is>
          <x:t xml:space="preserve">Ascospores</x:t>
        </x:is>
      </x:c>
      <x:c r="P6" t="inlineStr">
        <x:is>
          <x:t xml:space="preserve">Low</x:t>
        </x:is>
      </x:c>
      <x:c r="Q6" t="n">
        <x:v>1</x:v>
      </x:c>
      <x:c r="R6" t="inlineStr">
        <x:is>
          <x:t xml:space="preserve">Exterior baseline dominated by ascospores</x:t>
        </x:is>
      </x:c>
      <x:c r="S6" t="inlineStr">
        <x:is>
          <x:t xml:space="preserve">21056763_Jaunich_20211020173423.pdf</x:t>
        </x:is>
      </x:c>
      <x:c r="T6" t="inlineStr">
        <x:is>
          <x:t xml:space="preserve">Page 3</x:t>
        </x:is>
      </x:c>
    </x:row>
    <x:row r="7">
      <x:c r="A7" t="inlineStr">
        <x:is>
          <x:t xml:space="preserve">SanAir</x:t>
        </x:is>
      </x:c>
      <x:c r="B7" t="inlineStr">
        <x:is>
          <x:t xml:space="preserve">21056763</x:t>
        </x:is>
      </x:c>
      <x:c r="C7" t="inlineStr">
        <x:is>
          <x:t xml:space="preserve">21056763-001</x:t>
        </x:is>
      </x:c>
      <x:c r="D7" t="inlineStr">
        <x:is>
          <x:t xml:space="preserve">Exterior</x:t>
        </x:is>
      </x:c>
      <x:c r="E7" t="inlineStr">
        <x:is>
          <x:t xml:space="preserve">Outdoor</x:t>
        </x:is>
      </x:c>
      <x:c r="F7" t="inlineStr">
        <x:is>
          <x:t xml:space="preserve">Air-O-Cell</x:t>
        </x:is>
      </x:c>
      <x:c r="G7" s="34" t="n">
        <x:v>75</x:v>
      </x:c>
      <x:c r="H7" t="inlineStr">
        <x:is>
          <x:t xml:space="preserve">2</x:t>
        </x:is>
      </x:c>
      <x:c r="I7" s="35" t="n"/>
      <x:c r="J7" s="35" t="n"/>
      <x:c r="K7" t="inlineStr">
        <x:is>
          <x:t xml:space="preserve">Chaetomium species</x:t>
        </x:is>
      </x:c>
      <x:c r="L7" s="34" t="n">
        <x:v>2</x:v>
      </x:c>
      <x:c r="M7" s="34" t="n">
        <x:v>27</x:v>
      </x:c>
      <x:c r="N7" t="inlineStr">
        <x:is>
          <x:t xml:space="preserve">&lt;1%</x:t>
        </x:is>
      </x:c>
      <x:c r="O7" t="inlineStr">
        <x:is>
          <x:t xml:space="preserve">Chaetomium</x:t>
        </x:is>
      </x:c>
      <x:c r="P7" t="inlineStr">
        <x:is>
          <x:t xml:space="preserve">High</x:t>
        </x:is>
      </x:c>
      <x:c r="Q7" t="n">
        <x:v>1</x:v>
      </x:c>
      <x:c r="R7" t="inlineStr">
        <x:is>
          <x:t xml:space="preserve">Low-count outdoor water-damage indicator</x:t>
        </x:is>
      </x:c>
      <x:c r="S7" t="inlineStr">
        <x:is>
          <x:t xml:space="preserve">21056763_Jaunich_20211020173423.pdf</x:t>
        </x:is>
      </x:c>
      <x:c r="T7" t="inlineStr">
        <x:is>
          <x:t xml:space="preserve">Page 3</x:t>
        </x:is>
      </x:c>
    </x:row>
    <x:row r="8">
      <x:c r="A8" t="inlineStr">
        <x:is>
          <x:t xml:space="preserve">SanAir</x:t>
        </x:is>
      </x:c>
      <x:c r="B8" t="inlineStr">
        <x:is>
          <x:t xml:space="preserve">21056763</x:t>
        </x:is>
      </x:c>
      <x:c r="C8" t="inlineStr">
        <x:is>
          <x:t xml:space="preserve">21056763-001</x:t>
        </x:is>
      </x:c>
      <x:c r="D8" t="inlineStr">
        <x:is>
          <x:t xml:space="preserve">Exterior</x:t>
        </x:is>
      </x:c>
      <x:c r="E8" t="inlineStr">
        <x:is>
          <x:t xml:space="preserve">Outdoor</x:t>
        </x:is>
      </x:c>
      <x:c r="F8" t="inlineStr">
        <x:is>
          <x:t xml:space="preserve">Air-O-Cell</x:t>
        </x:is>
      </x:c>
      <x:c r="G8" s="34" t="n">
        <x:v>75</x:v>
      </x:c>
      <x:c r="H8" t="inlineStr">
        <x:is>
          <x:t xml:space="preserve">2</x:t>
        </x:is>
      </x:c>
      <x:c r="I8" s="35" t="n"/>
      <x:c r="J8" s="35" t="n"/>
      <x:c r="K8" t="inlineStr">
        <x:is>
          <x:t xml:space="preserve">Cladosporium species</x:t>
        </x:is>
      </x:c>
      <x:c r="L8" s="34" t="n">
        <x:v>5</x:v>
      </x:c>
      <x:c r="M8" s="34" t="n">
        <x:v>67</x:v>
      </x:c>
      <x:c r="N8" t="inlineStr">
        <x:is>
          <x:t xml:space="preserve">&lt;1%</x:t>
        </x:is>
      </x:c>
      <x:c r="O8" t="inlineStr">
        <x:is>
          <x:t xml:space="preserve">Cladosporium</x:t>
        </x:is>
      </x:c>
      <x:c r="P8" t="inlineStr">
        <x:is>
          <x:t xml:space="preserve">Low</x:t>
        </x:is>
      </x:c>
      <x:c r="Q8" t="n">
        <x:v>1</x:v>
      </x:c>
      <x:c r="R8" t="inlineStr">
        <x:is>
          <x:t xml:space="preserve">Typical outdoor background genus</x:t>
        </x:is>
      </x:c>
      <x:c r="S8" t="inlineStr">
        <x:is>
          <x:t xml:space="preserve">21056763_Jaunich_20211020173423.pdf</x:t>
        </x:is>
      </x:c>
      <x:c r="T8" t="inlineStr">
        <x:is>
          <x:t xml:space="preserve">Page 3</x:t>
        </x:is>
      </x:c>
    </x:row>
    <x:row r="9">
      <x:c r="A9" t="inlineStr">
        <x:is>
          <x:t xml:space="preserve">SanAir</x:t>
        </x:is>
      </x:c>
      <x:c r="B9" t="inlineStr">
        <x:is>
          <x:t xml:space="preserve">21056763</x:t>
        </x:is>
      </x:c>
      <x:c r="C9" t="inlineStr">
        <x:is>
          <x:t xml:space="preserve">21056763-002</x:t>
        </x:is>
      </x:c>
      <x:c r="D9" t="inlineStr">
        <x:is>
          <x:t xml:space="preserve">Entry</x:t>
        </x:is>
      </x:c>
      <x:c r="E9" t="inlineStr">
        <x:is>
          <x:t xml:space="preserve">Indoor</x:t>
        </x:is>
      </x:c>
      <x:c r="F9" t="inlineStr">
        <x:is>
          <x:t xml:space="preserve">Air-O-Cell</x:t>
        </x:is>
      </x:c>
      <x:c r="G9" s="34" t="n">
        <x:v>75</x:v>
      </x:c>
      <x:c r="H9" t="inlineStr">
        <x:is>
          <x:t xml:space="preserve">3+</x:t>
        </x:is>
      </x:c>
      <x:c r="I9" s="35" t="n"/>
      <x:c r="J9" s="35" t="n"/>
      <x:c r="K9" t="inlineStr">
        <x:is>
          <x:t xml:space="preserve">Ascospores</x:t>
        </x:is>
      </x:c>
      <x:c r="L9" s="34" t="n">
        <x:v>1</x:v>
      </x:c>
      <x:c r="M9" s="34" t="n">
        <x:v>13</x:v>
      </x:c>
      <x:c r="N9" t="inlineStr">
        <x:is>
          <x:t xml:space="preserve">&lt;1%</x:t>
        </x:is>
      </x:c>
      <x:c r="O9" t="inlineStr">
        <x:is>
          <x:t xml:space="preserve">Ascospores</x:t>
        </x:is>
      </x:c>
      <x:c r="P9" t="inlineStr">
        <x:is>
          <x:t xml:space="preserve">Low</x:t>
        </x:is>
      </x:c>
      <x:c r="Q9" t="n">
        <x:v>0.001105442176870748</x:v>
      </x:c>
      <x:c r="R9" t="inlineStr">
        <x:is>
          <x:t xml:space="preserve">Trace indoor ascospores below baseline</x:t>
        </x:is>
      </x:c>
      <x:c r="S9" t="inlineStr">
        <x:is>
          <x:t xml:space="preserve">21056763_Jaunich_20211020173423.pdf</x:t>
        </x:is>
      </x:c>
      <x:c r="T9" t="inlineStr">
        <x:is>
          <x:t xml:space="preserve">Page 3</x:t>
        </x:is>
      </x:c>
    </x:row>
    <x:row r="10">
      <x:c r="A10" t="inlineStr">
        <x:is>
          <x:t xml:space="preserve">SanAir</x:t>
        </x:is>
      </x:c>
      <x:c r="B10" t="inlineStr">
        <x:is>
          <x:t xml:space="preserve">21056763</x:t>
        </x:is>
      </x:c>
      <x:c r="C10" t="inlineStr">
        <x:is>
          <x:t xml:space="preserve">21056763-002</x:t>
        </x:is>
      </x:c>
      <x:c r="D10" t="inlineStr">
        <x:is>
          <x:t xml:space="preserve">Entry</x:t>
        </x:is>
      </x:c>
      <x:c r="E10" t="inlineStr">
        <x:is>
          <x:t xml:space="preserve">Indoor</x:t>
        </x:is>
      </x:c>
      <x:c r="F10" t="inlineStr">
        <x:is>
          <x:t xml:space="preserve">Air-O-Cell</x:t>
        </x:is>
      </x:c>
      <x:c r="G10" s="34" t="n">
        <x:v>75</x:v>
      </x:c>
      <x:c r="H10" t="inlineStr">
        <x:is>
          <x:t xml:space="preserve">3+</x:t>
        </x:is>
      </x:c>
      <x:c r="I10" s="35" t="n"/>
      <x:c r="J10" s="35" t="n"/>
      <x:c r="K10" t="inlineStr">
        <x:is>
          <x:t xml:space="preserve">Basidiospores</x:t>
        </x:is>
      </x:c>
      <x:c r="L10" s="34" t="n">
        <x:v>12000</x:v>
      </x:c>
      <x:c r="M10" s="34" t="n">
        <x:v>160000</x:v>
      </x:c>
      <x:c r="N10" t="inlineStr">
        <x:is>
          <x:t xml:space="preserve">&gt;99%</x:t>
        </x:is>
      </x:c>
      <x:c r="O10" t="inlineStr">
        <x:is>
          <x:t xml:space="preserve">Basidiospores</x:t>
        </x:is>
      </x:c>
      <x:c r="P10" t="inlineStr">
        <x:is>
          <x:t xml:space="preserve">Moderate</x:t>
        </x:is>
      </x:c>
      <x:c r="R10" t="inlineStr">
        <x:is>
          <x:t xml:space="preserve">Indoor dominated by basidiospores with overloaded profile</x:t>
        </x:is>
      </x:c>
      <x:c r="S10" t="inlineStr">
        <x:is>
          <x:t xml:space="preserve">21056763_Jaunich_20211020173423.pdf</x:t>
        </x:is>
      </x:c>
      <x:c r="T10" t="inlineStr">
        <x:is>
          <x:t xml:space="preserve">Page 3 estimated &gt;12,000 raw count</x:t>
        </x:is>
      </x:c>
    </x:row>
    <x:row r="11">
      <x:c r="A11" t="inlineStr">
        <x:is>
          <x:t xml:space="preserve">SanAir</x:t>
        </x:is>
      </x:c>
      <x:c r="B11" t="inlineStr">
        <x:is>
          <x:t xml:space="preserve">21056763</x:t>
        </x:is>
      </x:c>
      <x:c r="C11" t="inlineStr">
        <x:is>
          <x:t xml:space="preserve">21056763-002</x:t>
        </x:is>
      </x:c>
      <x:c r="D11" t="inlineStr">
        <x:is>
          <x:t xml:space="preserve">Entry</x:t>
        </x:is>
      </x:c>
      <x:c r="E11" t="inlineStr">
        <x:is>
          <x:t xml:space="preserve">Indoor</x:t>
        </x:is>
      </x:c>
      <x:c r="F11" t="inlineStr">
        <x:is>
          <x:t xml:space="preserve">Air-O-Cell</x:t>
        </x:is>
      </x:c>
      <x:c r="G11" s="34" t="n">
        <x:v>75</x:v>
      </x:c>
      <x:c r="H11" t="inlineStr">
        <x:is>
          <x:t xml:space="preserve">3+</x:t>
        </x:is>
      </x:c>
      <x:c r="I11" s="35" t="n"/>
      <x:c r="J11" s="35" t="n"/>
      <x:c r="K11" t="inlineStr">
        <x:is>
          <x:t xml:space="preserve">Cladosporium species</x:t>
        </x:is>
      </x:c>
      <x:c r="L11" s="34" t="n">
        <x:v>1</x:v>
      </x:c>
      <x:c r="M11" s="34" t="n">
        <x:v>13</x:v>
      </x:c>
      <x:c r="N11" t="inlineStr">
        <x:is>
          <x:t xml:space="preserve">&lt;1%</x:t>
        </x:is>
      </x:c>
      <x:c r="O11" t="inlineStr">
        <x:is>
          <x:t xml:space="preserve">Cladosporium</x:t>
        </x:is>
      </x:c>
      <x:c r="P11" t="inlineStr">
        <x:is>
          <x:t xml:space="preserve">Low</x:t>
        </x:is>
      </x:c>
      <x:c r="Q11" t="n">
        <x:v>0.1940298507462687</x:v>
      </x:c>
      <x:c r="R11" t="inlineStr">
        <x:is>
          <x:t xml:space="preserve">Indoor cladosporium lower than outdoor baseline</x:t>
        </x:is>
      </x:c>
      <x:c r="S11" t="inlineStr">
        <x:is>
          <x:t xml:space="preserve">21056763_Jaunich_20211020173423.pdf</x:t>
        </x:is>
      </x:c>
      <x:c r="T11" t="inlineStr">
        <x:is>
          <x:t xml:space="preserve">Page 3</x:t>
        </x:is>
      </x:c>
    </x:row>
    <x:row r="12">
      <x:c r="A12" t="inlineStr">
        <x:is>
          <x:t xml:space="preserve">SanAir</x:t>
        </x:is>
      </x:c>
      <x:c r="B12" t="inlineStr">
        <x:is>
          <x:t xml:space="preserve">21056763</x:t>
        </x:is>
      </x:c>
      <x:c r="C12" t="inlineStr">
        <x:is>
          <x:t xml:space="preserve">21056763-003</x:t>
        </x:is>
      </x:c>
      <x:c r="D12" t="inlineStr">
        <x:is>
          <x:t xml:space="preserve">TV Area</x:t>
        </x:is>
      </x:c>
      <x:c r="E12" t="inlineStr">
        <x:is>
          <x:t xml:space="preserve">Indoor</x:t>
        </x:is>
      </x:c>
      <x:c r="F12" t="inlineStr">
        <x:is>
          <x:t xml:space="preserve">Air-O-Cell</x:t>
        </x:is>
      </x:c>
      <x:c r="G12" s="34" t="n">
        <x:v>75</x:v>
      </x:c>
      <x:c r="H12" t="inlineStr">
        <x:is>
          <x:t xml:space="preserve">3+</x:t>
        </x:is>
      </x:c>
      <x:c r="I12" s="35" t="n"/>
      <x:c r="J12" s="35" t="n"/>
      <x:c r="K12" t="inlineStr">
        <x:is>
          <x:t xml:space="preserve">Basidiospores</x:t>
        </x:is>
      </x:c>
      <x:c r="L12" s="34" t="n">
        <x:v>12000</x:v>
      </x:c>
      <x:c r="M12" s="34" t="n">
        <x:v>160000</x:v>
      </x:c>
      <x:c r="N12" t="inlineStr">
        <x:is>
          <x:t xml:space="preserve">&gt;99%</x:t>
        </x:is>
      </x:c>
      <x:c r="O12" t="inlineStr">
        <x:is>
          <x:t xml:space="preserve">Basidiospores</x:t>
        </x:is>
      </x:c>
      <x:c r="P12" t="inlineStr">
        <x:is>
          <x:t xml:space="preserve">Moderate</x:t>
        </x:is>
      </x:c>
      <x:c r="R12" t="inlineStr">
        <x:is>
          <x:t xml:space="preserve">TV area sample overwhelmed by basidiospores</x:t>
        </x:is>
      </x:c>
      <x:c r="S12" t="inlineStr">
        <x:is>
          <x:t xml:space="preserve">21056763_Jaunich_20211020173423.pdf</x:t>
        </x:is>
      </x:c>
      <x:c r="T12" t="inlineStr">
        <x:is>
          <x:t xml:space="preserve">Page 3 estimated &gt;12,000 raw count</x:t>
        </x:is>
      </x:c>
    </x:row>
    <x:row r="13">
      <x:c r="A13" t="inlineStr">
        <x:is>
          <x:t xml:space="preserve">SanAir</x:t>
        </x:is>
      </x:c>
      <x:c r="B13" t="inlineStr">
        <x:is>
          <x:t xml:space="preserve">21056763</x:t>
        </x:is>
      </x:c>
      <x:c r="C13" t="inlineStr">
        <x:is>
          <x:t xml:space="preserve">21056763-004</x:t>
        </x:is>
      </x:c>
      <x:c r="D13" t="inlineStr">
        <x:is>
          <x:t xml:space="preserve">Exterior Side</x:t>
        </x:is>
      </x:c>
      <x:c r="E13" t="inlineStr">
        <x:is>
          <x:t xml:space="preserve">Surface</x:t>
        </x:is>
      </x:c>
      <x:c r="F13" t="inlineStr">
        <x:is>
          <x:t xml:space="preserve">Bulk Material</x:t>
        </x:is>
      </x:c>
      <x:c r="G13" s="34" t="n"/>
      <x:c r="I13" s="35" t="n"/>
      <x:c r="J13" s="35" t="n"/>
      <x:c r="K13" t="inlineStr">
        <x:is>
          <x:t xml:space="preserve">Aspergillus/Penicillium</x:t>
        </x:is>
      </x:c>
      <x:c r="L13" s="34" t="n"/>
      <x:c r="M13" s="34" t="n"/>
      <x:c r="N13" t="inlineStr">
        <x:is>
          <x:t xml:space="preserve">Rare</x:t>
        </x:is>
      </x:c>
      <x:c r="O13" t="inlineStr">
        <x:is>
          <x:t xml:space="preserve">Aspergillus/Penicillium</x:t>
        </x:is>
      </x:c>
      <x:c r="P13" t="inlineStr">
        <x:is>
          <x:t xml:space="preserve">Moderate</x:t>
        </x:is>
      </x:c>
      <x:c r="R13" t="inlineStr">
        <x:is>
          <x:t xml:space="preserve">Direct ID: rare possible growth on bulk material</x:t>
        </x:is>
      </x:c>
      <x:c r="S13" t="inlineStr">
        <x:is>
          <x:t xml:space="preserve">21056763_Jaunich_20211020173423.pdf</x:t>
        </x:is>
      </x:c>
      <x:c r="T13" t="inlineStr">
        <x:is>
          <x:t xml:space="preserve">Page 4</x:t>
        </x:is>
      </x:c>
    </x:row>
    <x:row r="14">
      <x:c r="A14" t="inlineStr">
        <x:is>
          <x:t xml:space="preserve">SanAir</x:t>
        </x:is>
      </x:c>
      <x:c r="B14" t="inlineStr">
        <x:is>
          <x:t xml:space="preserve">21056763</x:t>
        </x:is>
      </x:c>
      <x:c r="C14" t="inlineStr">
        <x:is>
          <x:t xml:space="preserve">21056763-005</x:t>
        </x:is>
      </x:c>
      <x:c r="D14" t="inlineStr">
        <x:is>
          <x:t xml:space="preserve">Wall At Beam</x:t>
        </x:is>
      </x:c>
      <x:c r="E14" t="inlineStr">
        <x:is>
          <x:t xml:space="preserve">Surface</x:t>
        </x:is>
      </x:c>
      <x:c r="F14" t="inlineStr">
        <x:is>
          <x:t xml:space="preserve">Bulk Material</x:t>
        </x:is>
      </x:c>
      <x:c r="G14" s="34" t="n"/>
      <x:c r="I14" s="35" t="n"/>
      <x:c r="J14" s="35" t="n"/>
      <x:c r="K14" t="inlineStr">
        <x:is>
          <x:t xml:space="preserve">Aspergillus/Penicillium</x:t>
        </x:is>
      </x:c>
      <x:c r="L14" s="34" t="n"/>
      <x:c r="M14" s="34" t="n"/>
      <x:c r="N14" t="inlineStr">
        <x:is>
          <x:t xml:space="preserve">Light</x:t>
        </x:is>
      </x:c>
      <x:c r="O14" t="inlineStr">
        <x:is>
          <x:t xml:space="preserve">Aspergillus/Penicillium</x:t>
        </x:is>
      </x:c>
      <x:c r="P14" t="inlineStr">
        <x:is>
          <x:t xml:space="preserve">Moderate</x:t>
        </x:is>
      </x:c>
      <x:c r="R14" t="inlineStr">
        <x:is>
          <x:t xml:space="preserve">Direct ID: light possible growth</x:t>
        </x:is>
      </x:c>
      <x:c r="S14" t="inlineStr">
        <x:is>
          <x:t xml:space="preserve">21056763_Jaunich_20211020173423.pdf</x:t>
        </x:is>
      </x:c>
      <x:c r="T14" t="inlineStr">
        <x:is>
          <x:t xml:space="preserve">Page 4</x:t>
        </x:is>
      </x:c>
    </x:row>
    <x:row r="15">
      <x:c r="A15" t="inlineStr">
        <x:is>
          <x:t xml:space="preserve">SanAir</x:t>
        </x:is>
      </x:c>
      <x:c r="B15" t="inlineStr">
        <x:is>
          <x:t xml:space="preserve">21056763</x:t>
        </x:is>
      </x:c>
      <x:c r="C15" t="inlineStr">
        <x:is>
          <x:t xml:space="preserve">21056763-006</x:t>
        </x:is>
      </x:c>
      <x:c r="D15" t="inlineStr">
        <x:is>
          <x:t xml:space="preserve">Beam Inside</x:t>
        </x:is>
      </x:c>
      <x:c r="E15" t="inlineStr">
        <x:is>
          <x:t xml:space="preserve">Surface</x:t>
        </x:is>
      </x:c>
      <x:c r="F15" t="inlineStr">
        <x:is>
          <x:t xml:space="preserve">Bulk Material</x:t>
        </x:is>
      </x:c>
      <x:c r="G15" s="34" t="n"/>
      <x:c r="I15" s="35" t="n"/>
      <x:c r="J15" s="35" t="n"/>
      <x:c r="K15" t="inlineStr">
        <x:is>
          <x:t xml:space="preserve">Basidiospores</x:t>
        </x:is>
      </x:c>
      <x:c r="L15" s="34" t="n"/>
      <x:c r="M15" s="34" t="n"/>
      <x:c r="N15" t="inlineStr">
        <x:is>
          <x:t xml:space="preserve">Heavy</x:t>
        </x:is>
      </x:c>
      <x:c r="O15" t="inlineStr">
        <x:is>
          <x:t xml:space="preserve">Basidiospores</x:t>
        </x:is>
      </x:c>
      <x:c r="P15" t="inlineStr">
        <x:is>
          <x:t xml:space="preserve">Moderate</x:t>
        </x:is>
      </x:c>
      <x:c r="R15" t="inlineStr">
        <x:is>
          <x:t xml:space="preserve">Direct ID: heavy probable/significant growth evidence</x:t>
        </x:is>
      </x:c>
      <x:c r="S15" t="inlineStr">
        <x:is>
          <x:t xml:space="preserve">21056763_Jaunich_20211020173423.pdf</x:t>
        </x:is>
      </x:c>
      <x:c r="T15" t="inlineStr">
        <x:is>
          <x:t xml:space="preserve">Page 4</x:t>
        </x:is>
      </x:c>
    </x:row>
    <x:row r="16">
      <x:c r="A16" t="inlineStr">
        <x:is>
          <x:t xml:space="preserve">SanAir</x:t>
        </x:is>
      </x:c>
      <x:c r="B16" t="inlineStr">
        <x:is>
          <x:t xml:space="preserve">21056763</x:t>
        </x:is>
      </x:c>
      <x:c r="C16" t="inlineStr">
        <x:is>
          <x:t xml:space="preserve">21056763-007</x:t>
        </x:is>
      </x:c>
      <x:c r="D16" t="inlineStr">
        <x:is>
          <x:t xml:space="preserve">Window</x:t>
        </x:is>
      </x:c>
      <x:c r="E16" t="inlineStr">
        <x:is>
          <x:t xml:space="preserve">Surface</x:t>
        </x:is>
      </x:c>
      <x:c r="F16" t="inlineStr">
        <x:is>
          <x:t xml:space="preserve">Bulk Material</x:t>
        </x:is>
      </x:c>
      <x:c r="G16" s="34" t="n"/>
      <x:c r="I16" s="35" t="n"/>
      <x:c r="J16" s="35" t="n"/>
      <x:c r="K16" t="inlineStr">
        <x:is>
          <x:t xml:space="preserve">Cladosporium species</x:t>
        </x:is>
      </x:c>
      <x:c r="L16" s="34" t="n"/>
      <x:c r="M16" s="34" t="n"/>
      <x:c r="N16" t="inlineStr">
        <x:is>
          <x:t xml:space="preserve">Rare</x:t>
        </x:is>
      </x:c>
      <x:c r="O16" t="inlineStr">
        <x:is>
          <x:t xml:space="preserve">Cladosporium</x:t>
        </x:is>
      </x:c>
      <x:c r="P16" t="inlineStr">
        <x:is>
          <x:t xml:space="preserve">Low</x:t>
        </x:is>
      </x:c>
      <x:c r="R16" t="inlineStr">
        <x:is>
          <x:t xml:space="preserve">Direct ID: rare visible growth evidence</x:t>
        </x:is>
      </x:c>
      <x:c r="S16" t="inlineStr">
        <x:is>
          <x:t xml:space="preserve">21056763_Jaunich_20211020173423.pdf</x:t>
        </x:is>
      </x:c>
      <x:c r="T16" t="inlineStr">
        <x:is>
          <x:t xml:space="preserve">Page 4</x:t>
        </x:is>
      </x:c>
    </x:row>
    <x:row r="17">
      <x:c r="A17" t="inlineStr">
        <x:is>
          <x:t xml:space="preserve">AEMTEK</x:t>
        </x:is>
      </x:c>
      <x:c r="B17" t="inlineStr">
        <x:is>
          <x:t xml:space="preserve">1701206</x:t>
        </x:is>
      </x:c>
      <x:c r="C17" t="inlineStr">
        <x:is>
          <x:t xml:space="preserve">23671241</x:t>
        </x:is>
      </x:c>
      <x:c r="D17" t="inlineStr">
        <x:is>
          <x:t xml:space="preserve">Downstairs Bedroom</x:t>
        </x:is>
      </x:c>
      <x:c r="E17" t="inlineStr">
        <x:is>
          <x:t xml:space="preserve">Indoor</x:t>
        </x:is>
      </x:c>
      <x:c r="F17" t="inlineStr">
        <x:is>
          <x:t xml:space="preserve">Spore Slit Impaction Cassette</x:t>
        </x:is>
      </x:c>
      <x:c r="G17" s="34" t="n">
        <x:v>75</x:v>
      </x:c>
      <x:c r="H17" t="inlineStr">
        <x:is>
          <x:t xml:space="preserve">26-50%</x:t>
        </x:is>
      </x:c>
      <x:c r="I17" s="35" t="n">
        <x:v>64</x:v>
      </x:c>
      <x:c r="J17" s="35" t="n">
        <x:v>47</x:v>
      </x:c>
      <x:c r="K17" t="inlineStr">
        <x:is>
          <x:t xml:space="preserve">Aspergillus/Penicillium-like</x:t>
        </x:is>
      </x:c>
      <x:c r="L17" s="34" t="n">
        <x:v>7</x:v>
      </x:c>
      <x:c r="M17" s="34" t="n">
        <x:v>91</x:v>
      </x:c>
      <x:c r="N17" t="inlineStr">
        <x:is>
          <x:t xml:space="preserve">44%</x:t>
        </x:is>
      </x:c>
      <x:c r="O17" t="inlineStr">
        <x:is>
          <x:t xml:space="preserve">Aspergillus/Penicillium</x:t>
        </x:is>
      </x:c>
      <x:c r="P17" t="inlineStr">
        <x:is>
          <x:t xml:space="preserve">Moderate</x:t>
        </x:is>
      </x:c>
      <x:c r="Q17" t="n">
        <x:v>0.7</x:v>
      </x:c>
      <x:c r="R17" t="inlineStr">
        <x:is>
          <x:t xml:space="preserve">Indoor A/P-like exceeds 50% of outdoor level</x:t>
        </x:is>
      </x:c>
      <x:c r="S17" t="inlineStr">
        <x:is>
          <x:t xml:space="preserve">Lab Results - 1701206.pdf</x:t>
        </x:is>
      </x:c>
      <x:c r="T17" t="inlineStr">
        <x:is>
          <x:t xml:space="preserve">Page 2 + chain of custody page 3</x:t>
        </x:is>
      </x:c>
    </x:row>
    <x:row r="18">
      <x:c r="A18" t="inlineStr">
        <x:is>
          <x:t xml:space="preserve">AEMTEK</x:t>
        </x:is>
      </x:c>
      <x:c r="B18" t="inlineStr">
        <x:is>
          <x:t xml:space="preserve">1701206</x:t>
        </x:is>
      </x:c>
      <x:c r="C18" t="inlineStr">
        <x:is>
          <x:t xml:space="preserve">23671241</x:t>
        </x:is>
      </x:c>
      <x:c r="D18" t="inlineStr">
        <x:is>
          <x:t xml:space="preserve">Downstairs Bedroom</x:t>
        </x:is>
      </x:c>
      <x:c r="E18" t="inlineStr">
        <x:is>
          <x:t xml:space="preserve">Indoor</x:t>
        </x:is>
      </x:c>
      <x:c r="F18" t="inlineStr">
        <x:is>
          <x:t xml:space="preserve">Spore Slit Impaction Cassette</x:t>
        </x:is>
      </x:c>
      <x:c r="G18" s="34" t="n">
        <x:v>75</x:v>
      </x:c>
      <x:c r="H18" t="inlineStr">
        <x:is>
          <x:t xml:space="preserve">26-50%</x:t>
        </x:is>
      </x:c>
      <x:c r="I18" s="35" t="n">
        <x:v>64</x:v>
      </x:c>
      <x:c r="J18" s="35" t="n">
        <x:v>47</x:v>
      </x:c>
      <x:c r="K18" t="inlineStr">
        <x:is>
          <x:t xml:space="preserve">Cladosporium</x:t>
        </x:is>
      </x:c>
      <x:c r="L18" s="34" t="n">
        <x:v>5</x:v>
      </x:c>
      <x:c r="M18" s="34" t="n">
        <x:v>65</x:v>
      </x:c>
      <x:c r="N18" t="inlineStr">
        <x:is>
          <x:t xml:space="preserve">31%</x:t>
        </x:is>
      </x:c>
      <x:c r="O18" t="inlineStr">
        <x:is>
          <x:t xml:space="preserve">Cladosporium</x:t>
        </x:is>
      </x:c>
      <x:c r="P18" t="inlineStr">
        <x:is>
          <x:t xml:space="preserve">Low</x:t>
        </x:is>
      </x:c>
      <x:c r="Q18" t="n">
        <x:v>0.1282051282051282</x:v>
      </x:c>
      <x:c r="R18" t="inlineStr">
        <x:is>
          <x:t xml:space="preserve">Indoor cladosporium well below outdoor baseline</x:t>
        </x:is>
      </x:c>
      <x:c r="S18" t="inlineStr">
        <x:is>
          <x:t xml:space="preserve">Lab Results - 1701206.pdf</x:t>
        </x:is>
      </x:c>
      <x:c r="T18" t="inlineStr">
        <x:is>
          <x:t xml:space="preserve">Page 2</x:t>
        </x:is>
      </x:c>
    </x:row>
    <x:row r="19">
      <x:c r="A19" t="inlineStr">
        <x:is>
          <x:t xml:space="preserve">AEMTEK</x:t>
        </x:is>
      </x:c>
      <x:c r="B19" t="inlineStr">
        <x:is>
          <x:t xml:space="preserve">1701206</x:t>
        </x:is>
      </x:c>
      <x:c r="C19" t="inlineStr">
        <x:is>
          <x:t xml:space="preserve">23671140</x:t>
        </x:is>
      </x:c>
      <x:c r="D19" t="inlineStr">
        <x:is>
          <x:t xml:space="preserve">Downstairs Bathroom</x:t>
        </x:is>
      </x:c>
      <x:c r="E19" t="inlineStr">
        <x:is>
          <x:t xml:space="preserve">Indoor</x:t>
        </x:is>
      </x:c>
      <x:c r="F19" t="inlineStr">
        <x:is>
          <x:t xml:space="preserve">Spore Slit Impaction Cassette</x:t>
        </x:is>
      </x:c>
      <x:c r="G19" s="34" t="n">
        <x:v>75</x:v>
      </x:c>
      <x:c r="H19" t="inlineStr">
        <x:is>
          <x:t xml:space="preserve">51-75%</x:t>
        </x:is>
      </x:c>
      <x:c r="I19" s="35" t="n">
        <x:v>68</x:v>
      </x:c>
      <x:c r="J19" s="35" t="n">
        <x:v>42</x:v>
      </x:c>
      <x:c r="K19" t="inlineStr">
        <x:is>
          <x:t xml:space="preserve">Aspergillus/Penicillium-like</x:t>
        </x:is>
      </x:c>
      <x:c r="L19" s="34" t="n">
        <x:v>19</x:v>
      </x:c>
      <x:c r="M19" s="34" t="n">
        <x:v>247</x:v>
      </x:c>
      <x:c r="N19" t="inlineStr">
        <x:is>
          <x:t xml:space="preserve">25%</x:t>
        </x:is>
      </x:c>
      <x:c r="O19" t="inlineStr">
        <x:is>
          <x:t xml:space="preserve">Aspergillus/Penicillium</x:t>
        </x:is>
      </x:c>
      <x:c r="P19" t="inlineStr">
        <x:is>
          <x:t xml:space="preserve">Moderate</x:t>
        </x:is>
      </x:c>
      <x:c r="Q19" t="n">
        <x:v>1.9</x:v>
      </x:c>
      <x:c r="R19" t="inlineStr">
        <x:is>
          <x:t xml:space="preserve">Bathroom A/P-like almost 2x outdoor level</x:t>
        </x:is>
      </x:c>
      <x:c r="S19" t="inlineStr">
        <x:is>
          <x:t xml:space="preserve">Lab Results - 1701206.pdf</x:t>
        </x:is>
      </x:c>
      <x:c r="T19" t="inlineStr">
        <x:is>
          <x:t xml:space="preserve">Page 2 + page 3</x:t>
        </x:is>
      </x:c>
    </x:row>
    <x:row r="20">
      <x:c r="A20" t="inlineStr">
        <x:is>
          <x:t xml:space="preserve">AEMTEK</x:t>
        </x:is>
      </x:c>
      <x:c r="B20" t="inlineStr">
        <x:is>
          <x:t xml:space="preserve">1701206</x:t>
        </x:is>
      </x:c>
      <x:c r="C20" t="inlineStr">
        <x:is>
          <x:t xml:space="preserve">23671140</x:t>
        </x:is>
      </x:c>
      <x:c r="D20" t="inlineStr">
        <x:is>
          <x:t xml:space="preserve">Downstairs Bathroom</x:t>
        </x:is>
      </x:c>
      <x:c r="E20" t="inlineStr">
        <x:is>
          <x:t xml:space="preserve">Indoor</x:t>
        </x:is>
      </x:c>
      <x:c r="F20" t="inlineStr">
        <x:is>
          <x:t xml:space="preserve">Spore Slit Impaction Cassette</x:t>
        </x:is>
      </x:c>
      <x:c r="G20" s="34" t="n">
        <x:v>75</x:v>
      </x:c>
      <x:c r="H20" t="inlineStr">
        <x:is>
          <x:t xml:space="preserve">51-75%</x:t>
        </x:is>
      </x:c>
      <x:c r="I20" s="35" t="n">
        <x:v>68</x:v>
      </x:c>
      <x:c r="J20" s="35" t="n">
        <x:v>42</x:v>
      </x:c>
      <x:c r="K20" t="inlineStr">
        <x:is>
          <x:t xml:space="preserve">Stachybotrys</x:t>
        </x:is>
      </x:c>
      <x:c r="L20" s="34" t="n">
        <x:v>2</x:v>
      </x:c>
      <x:c r="M20" s="34" t="n">
        <x:v>26</x:v>
      </x:c>
      <x:c r="N20" t="inlineStr">
        <x:is>
          <x:t xml:space="preserve">3%</x:t>
        </x:is>
      </x:c>
      <x:c r="O20" t="inlineStr">
        <x:is>
          <x:t xml:space="preserve">Stachybotrys</x:t>
        </x:is>
      </x:c>
      <x:c r="P20" t="inlineStr">
        <x:is>
          <x:t xml:space="preserve">High</x:t>
        </x:is>
      </x:c>
      <x:c r="R20" t="inlineStr">
        <x:is>
          <x:t xml:space="preserve">Low-count Stachybotrys indoors warrants high caution due to water-damage significance</x:t>
        </x:is>
      </x:c>
      <x:c r="S20" t="inlineStr">
        <x:is>
          <x:t xml:space="preserve">Lab Results - 1701206.pdf</x:t>
        </x:is>
      </x:c>
      <x:c r="T20" t="inlineStr">
        <x:is>
          <x:t xml:space="preserve">Page 2</x:t>
        </x:is>
      </x:c>
    </x:row>
    <x:row r="21">
      <x:c r="A21" t="inlineStr">
        <x:is>
          <x:t xml:space="preserve">AEMTEK</x:t>
        </x:is>
      </x:c>
      <x:c r="B21" t="inlineStr">
        <x:is>
          <x:t xml:space="preserve">1701206</x:t>
        </x:is>
      </x:c>
      <x:c r="C21" t="inlineStr">
        <x:is>
          <x:t xml:space="preserve">23671140</x:t>
        </x:is>
      </x:c>
      <x:c r="D21" t="inlineStr">
        <x:is>
          <x:t xml:space="preserve">Downstairs Bathroom</x:t>
        </x:is>
      </x:c>
      <x:c r="E21" t="inlineStr">
        <x:is>
          <x:t xml:space="preserve">Indoor</x:t>
        </x:is>
      </x:c>
      <x:c r="F21" t="inlineStr">
        <x:is>
          <x:t xml:space="preserve">Spore Slit Impaction Cassette</x:t>
        </x:is>
      </x:c>
      <x:c r="G21" s="34" t="n">
        <x:v>75</x:v>
      </x:c>
      <x:c r="H21" t="inlineStr">
        <x:is>
          <x:t xml:space="preserve">51-75%</x:t>
        </x:is>
      </x:c>
      <x:c r="I21" s="35" t="n">
        <x:v>68</x:v>
      </x:c>
      <x:c r="J21" s="35" t="n">
        <x:v>42</x:v>
      </x:c>
      <x:c r="K21" t="inlineStr">
        <x:is>
          <x:t xml:space="preserve">Cladosporium</x:t>
        </x:is>
      </x:c>
      <x:c r="L21" s="34" t="n">
        <x:v>21</x:v>
      </x:c>
      <x:c r="M21" s="34" t="n">
        <x:v>273</x:v>
      </x:c>
      <x:c r="N21" t="inlineStr">
        <x:is>
          <x:t xml:space="preserve">28%</x:t>
        </x:is>
      </x:c>
      <x:c r="O21" t="inlineStr">
        <x:is>
          <x:t xml:space="preserve">Cladosporium</x:t>
        </x:is>
      </x:c>
      <x:c r="P21" t="inlineStr">
        <x:is>
          <x:t xml:space="preserve">Low</x:t>
        </x:is>
      </x:c>
      <x:c r="Q21" t="n">
        <x:v>0.5384615384615384</x:v>
      </x:c>
      <x:c r="R21" t="inlineStr">
        <x:is>
          <x:t xml:space="preserve">Bathroom cladosporium below outdoor baseline but still notable</x:t>
        </x:is>
      </x:c>
      <x:c r="S21" t="inlineStr">
        <x:is>
          <x:t xml:space="preserve">Lab Results - 1701206.pdf</x:t>
        </x:is>
      </x:c>
      <x:c r="T21" t="inlineStr">
        <x:is>
          <x:t xml:space="preserve">Page 2</x:t>
        </x:is>
      </x:c>
    </x:row>
    <x:row r="22">
      <x:c r="A22" t="inlineStr">
        <x:is>
          <x:t xml:space="preserve">AEMTEK</x:t>
        </x:is>
      </x:c>
      <x:c r="B22" t="inlineStr">
        <x:is>
          <x:t xml:space="preserve">1701206</x:t>
        </x:is>
      </x:c>
      <x:c r="C22" t="inlineStr">
        <x:is>
          <x:t xml:space="preserve">23671229</x:t>
        </x:is>
      </x:c>
      <x:c r="D22" t="inlineStr">
        <x:is>
          <x:t xml:space="preserve">Outside (ambient)</x:t>
        </x:is>
      </x:c>
      <x:c r="E22" t="inlineStr">
        <x:is>
          <x:t xml:space="preserve">Outdoor</x:t>
        </x:is>
      </x:c>
      <x:c r="F22" t="inlineStr">
        <x:is>
          <x:t xml:space="preserve">Spore Slit Impaction Cassette</x:t>
        </x:is>
      </x:c>
      <x:c r="G22" s="34" t="n">
        <x:v>75</x:v>
      </x:c>
      <x:c r="H22" t="inlineStr">
        <x:is>
          <x:t xml:space="preserve">51-75%</x:t>
        </x:is>
      </x:c>
      <x:c r="I22" s="35" t="n">
        <x:v>61</x:v>
      </x:c>
      <x:c r="J22" s="35" t="n">
        <x:v>35</x:v>
      </x:c>
      <x:c r="K22" t="inlineStr">
        <x:is>
          <x:t xml:space="preserve">Aspergillus/Penicillium-like</x:t>
        </x:is>
      </x:c>
      <x:c r="L22" s="34" t="n">
        <x:v>10</x:v>
      </x:c>
      <x:c r="M22" s="34" t="n">
        <x:v>130</x:v>
      </x:c>
      <x:c r="N22" t="inlineStr">
        <x:is>
          <x:t xml:space="preserve">6%</x:t>
        </x:is>
      </x:c>
      <x:c r="O22" t="inlineStr">
        <x:is>
          <x:t xml:space="preserve">Aspergillus/Penicillium</x:t>
        </x:is>
      </x:c>
      <x:c r="P22" t="inlineStr">
        <x:is>
          <x:t xml:space="preserve">Moderate</x:t>
        </x:is>
      </x:c>
      <x:c r="Q22" t="n">
        <x:v>1</x:v>
      </x:c>
      <x:c r="R22" t="inlineStr">
        <x:is>
          <x:t xml:space="preserve">Outdoor reference for AEMTEK dataset</x:t>
        </x:is>
      </x:c>
      <x:c r="S22" t="inlineStr">
        <x:is>
          <x:t xml:space="preserve">Lab Results - 1701206.pdf</x:t>
        </x:is>
      </x:c>
      <x:c r="T22" t="inlineStr">
        <x:is>
          <x:t xml:space="preserve">Page 2 + page 3</x:t>
        </x:is>
      </x:c>
    </x:row>
    <x:row r="23">
      <x:c r="A23" t="inlineStr">
        <x:is>
          <x:t xml:space="preserve">AEMTEK</x:t>
        </x:is>
      </x:c>
      <x:c r="B23" t="inlineStr">
        <x:is>
          <x:t xml:space="preserve">1701206</x:t>
        </x:is>
      </x:c>
      <x:c r="C23" t="inlineStr">
        <x:is>
          <x:t xml:space="preserve">23671229</x:t>
        </x:is>
      </x:c>
      <x:c r="D23" t="inlineStr">
        <x:is>
          <x:t xml:space="preserve">Outside (ambient)</x:t>
        </x:is>
      </x:c>
      <x:c r="E23" t="inlineStr">
        <x:is>
          <x:t xml:space="preserve">Outdoor</x:t>
        </x:is>
      </x:c>
      <x:c r="F23" t="inlineStr">
        <x:is>
          <x:t xml:space="preserve">Spore Slit Impaction Cassette</x:t>
        </x:is>
      </x:c>
      <x:c r="G23" s="34" t="n">
        <x:v>75</x:v>
      </x:c>
      <x:c r="H23" t="inlineStr">
        <x:is>
          <x:t xml:space="preserve">51-75%</x:t>
        </x:is>
      </x:c>
      <x:c r="I23" s="35" t="n">
        <x:v>61</x:v>
      </x:c>
      <x:c r="J23" s="35" t="n">
        <x:v>35</x:v>
      </x:c>
      <x:c r="K23" t="inlineStr">
        <x:is>
          <x:t xml:space="preserve">Cladosporium</x:t>
        </x:is>
      </x:c>
      <x:c r="L23" s="34" t="n">
        <x:v>39</x:v>
      </x:c>
      <x:c r="M23" s="34" t="n">
        <x:v>507</x:v>
      </x:c>
      <x:c r="N23" t="inlineStr">
        <x:is>
          <x:t xml:space="preserve">22%</x:t>
        </x:is>
      </x:c>
      <x:c r="O23" t="inlineStr">
        <x:is>
          <x:t xml:space="preserve">Cladosporium</x:t>
        </x:is>
      </x:c>
      <x:c r="P23" t="inlineStr">
        <x:is>
          <x:t xml:space="preserve">Low</x:t>
        </x:is>
      </x:c>
      <x:c r="Q23" t="n">
        <x:v>1</x:v>
      </x:c>
      <x:c r="R23" t="inlineStr">
        <x:is>
          <x:t xml:space="preserve">Outdoor reference cladosporium baseline</x:t>
        </x:is>
      </x:c>
      <x:c r="S23" t="inlineStr">
        <x:is>
          <x:t xml:space="preserve">Lab Results - 1701206.pdf</x:t>
        </x:is>
      </x:c>
      <x:c r="T23" t="inlineStr">
        <x:is>
          <x:t xml:space="preserve">Page 2</x:t>
        </x:is>
      </x:c>
    </x:row>
    <x:row r="24">
      <x:c r="A24" t="inlineStr">
        <x:is>
          <x:t xml:space="preserve">AEMTEK</x:t>
        </x:is>
      </x:c>
      <x:c r="B24" t="inlineStr">
        <x:is>
          <x:t xml:space="preserve">1701206</x:t>
        </x:is>
      </x:c>
      <x:c r="C24" t="inlineStr">
        <x:is>
          <x:t xml:space="preserve">23671229</x:t>
        </x:is>
      </x:c>
      <x:c r="D24" t="inlineStr">
        <x:is>
          <x:t xml:space="preserve">Outside (ambient)</x:t>
        </x:is>
      </x:c>
      <x:c r="E24" t="inlineStr">
        <x:is>
          <x:t xml:space="preserve">Outdoor</x:t>
        </x:is>
      </x:c>
      <x:c r="F24" t="inlineStr">
        <x:is>
          <x:t xml:space="preserve">Spore Slit Impaction Cassette</x:t>
        </x:is>
      </x:c>
      <x:c r="G24" s="34" t="n">
        <x:v>75</x:v>
      </x:c>
      <x:c r="H24" t="inlineStr">
        <x:is>
          <x:t xml:space="preserve">51-75%</x:t>
        </x:is>
      </x:c>
      <x:c r="I24" s="35" t="n">
        <x:v>61</x:v>
      </x:c>
      <x:c r="J24" s="35" t="n">
        <x:v>35</x:v>
      </x:c>
      <x:c r="K24" t="inlineStr">
        <x:is>
          <x:t xml:space="preserve">Basidiospores</x:t>
        </x:is>
      </x:c>
      <x:c r="L24" s="34" t="n">
        <x:v>62</x:v>
      </x:c>
      <x:c r="M24" s="34" t="n">
        <x:v>806</x:v>
      </x:c>
      <x:c r="N24" t="inlineStr">
        <x:is>
          <x:t xml:space="preserve">35%</x:t>
        </x:is>
      </x:c>
      <x:c r="O24" t="inlineStr">
        <x:is>
          <x:t xml:space="preserve">Basidiospores</x:t>
        </x:is>
      </x:c>
      <x:c r="P24" t="inlineStr">
        <x:is>
          <x:t xml:space="preserve">Moderate</x:t>
        </x:is>
      </x:c>
      <x:c r="Q24" t="n">
        <x:v>1</x:v>
      </x:c>
      <x:c r="R24" t="inlineStr">
        <x:is>
          <x:t xml:space="preserve">Outdoor baseline dominated by basidiospores</x:t>
        </x:is>
      </x:c>
      <x:c r="S24" t="inlineStr">
        <x:is>
          <x:t xml:space="preserve">Lab Results - 1701206.pdf</x:t>
        </x:is>
      </x:c>
      <x:c r="T24" t="inlineStr">
        <x:is>
          <x:t xml:space="preserve">Page 2</x:t>
        </x:is>
      </x:c>
    </x:row>
  </x:sheetData>
  <x:mergeCells>
    <x:mergeCell ref="A1:P1"/>
    <x:mergeCell ref="A2:P2"/>
  </x:mergeCells>
  <x:pageMargins left="0.7" right="0.7" top="0.75" bottom="0.75" header="0.3" footer="0.3"/>
  <x:legacyDrawing xmlns:r="http://schemas.openxmlformats.org/officeDocument/2006/relationships" r:id="R62bb0969b6f7465c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2" customWidth="1"/>
    <x:col min="3" max="3" width="28" customWidth="1"/>
    <x:col min="4" max="4" width="28" customWidth="1"/>
    <x:col min="5" max="5" width="28" customWidth="1"/>
    <x:col min="6" max="6" width="28" customWidth="1"/>
    <x:col min="7" max="7" width="28" customWidth="1"/>
    <x:col min="8" max="8" width="28" customWidth="1"/>
    <x:col min="9" max="9" width="28" customWidth="1"/>
    <x:col min="10" max="10" width="28" customWidth="1"/>
    <x:col min="11" max="11" width="28" customWidth="1"/>
    <x:col min="12" max="12" width="18" customWidth="1"/>
    <x:col min="13" max="13" width="28" customWidth="1"/>
    <x:col min="14" max="14" width="28" customWidth="1"/>
  </x:cols>
  <x:sheetData>
    <x:row r="1">
      <x:c r="A1" s="25" t="inlineStr">
        <x:is>
          <x:t xml:space="preserve">Home Health AI – IAQ Scoring Engine</x:t>
        </x:is>
      </x:c>
    </x:row>
    <x:row r="2">
      <x:c r="A2" s="32" t="inlineStr">
        <x:is>
          <x:t xml:space="preserve">Formula-driven scoring model combining spore load, ratio, markers, moisture, visibility, and occupant sensitivity.</x:t>
        </x:is>
      </x:c>
    </x:row>
    <x:row r="3"/>
    <x:row r="4">
      <x:c r="A4" s="36" t="inlineStr">
        <x:is>
          <x:t xml:space="preserve">scenario_id</x:t>
        </x:is>
      </x:c>
      <x:c r="B4" s="36" t="inlineStr">
        <x:is>
          <x:t xml:space="preserve">scenario_name</x:t>
        </x:is>
      </x:c>
      <x:c r="C4" s="36" t="inlineStr">
        <x:is>
          <x:t xml:space="preserve">spore_load_score</x:t>
        </x:is>
      </x:c>
      <x:c r="D4" s="36" t="inlineStr">
        <x:is>
          <x:t xml:space="preserve">indoor_outdoor_ratio</x:t>
        </x:is>
      </x:c>
      <x:c r="E4" s="36" t="inlineStr">
        <x:is>
          <x:t xml:space="preserve">ratio_score</x:t>
        </x:is>
      </x:c>
      <x:c r="F4" s="36" t="inlineStr">
        <x:is>
          <x:t xml:space="preserve">marker_score</x:t>
        </x:is>
      </x:c>
      <x:c r="G4" s="36" t="inlineStr">
        <x:is>
          <x:t xml:space="preserve">mycotoxin_score</x:t>
        </x:is>
      </x:c>
      <x:c r="H4" s="36" t="inlineStr">
        <x:is>
          <x:t xml:space="preserve">visible_growth_score</x:t>
        </x:is>
      </x:c>
      <x:c r="I4" s="36" t="inlineStr">
        <x:is>
          <x:t xml:space="preserve">porous_wet_score</x:t>
        </x:is>
      </x:c>
      <x:c r="J4" s="36" t="inlineStr">
        <x:is>
          <x:t xml:space="preserve">humidity_score</x:t>
        </x:is>
      </x:c>
      <x:c r="K4" s="36" t="inlineStr">
        <x:is>
          <x:t xml:space="preserve">sensitivity_score</x:t>
        </x:is>
      </x:c>
      <x:c r="L4" s="36" t="inlineStr">
        <x:is>
          <x:t xml:space="preserve">total_risk_score</x:t>
        </x:is>
      </x:c>
      <x:c r="M4" s="36" t="inlineStr">
        <x:is>
          <x:t xml:space="preserve">risk_band</x:t>
        </x:is>
      </x:c>
      <x:c r="N4" s="36" t="inlineStr">
        <x:is>
          <x:t xml:space="preserve">recommended_action</x:t>
        </x:is>
      </x:c>
    </x:row>
    <x:row r="5">
      <x:c r="A5">
        <x:f>'Control Center'!A5</x:f>
      </x:c>
      <x:c r="B5">
        <x:f>'Control Center'!B5</x:f>
      </x:c>
      <x:c r="C5">
        <x:f>IF('Control Center'!C5=0,10,IF('Control Center'!C5&lt;250,10,IF('Control Center'!C5&lt;750,20,IF('Control Center'!C5&lt;1500,30,40))))</x:f>
      </x:c>
      <x:c r="D5" s="37">
        <x:f>IFERROR('Control Center'!C5/'Control Center'!D5,"")</x:f>
      </x:c>
      <x:c r="E5">
        <x:f>IF(D5="",10,IF(D5&lt;0.5,10,IF(D5&lt;1,20,IF(D5&lt;2,30,40))))</x:f>
      </x:c>
      <x:c r="F5">
        <x:f>IF('Control Center'!F5="Yes",20,IF('Control Center'!F5="Unknown",10,0))</x:f>
      </x:c>
      <x:c r="G5">
        <x:f>IF('Control Center'!G5="Yes",15,IF('Control Center'!G5="Unknown",8,0))</x:f>
      </x:c>
      <x:c r="H5">
        <x:f>IF('Control Center'!H5="Yes",15,IF('Control Center'!H5="Unknown",8,0))</x:f>
      </x:c>
      <x:c r="I5">
        <x:f>IF('Control Center'!I5="Yes",15,IF('Control Center'!I5="Unknown",8,0))</x:f>
      </x:c>
      <x:c r="J5">
        <x:f>IF('Control Center'!J5&lt;50,0,IF('Control Center'!J5&lt;60,5,IF('Control Center'!J5&lt;70,10,15)))</x:f>
      </x:c>
      <x:c r="K5">
        <x:f>IF('Control Center'!K5="Sensitive",10,5)</x:f>
      </x:c>
      <x:c r="L5">
        <x:f>SUM(C5:K5)</x:f>
      </x:c>
      <x:c r="M5">
        <x:f>IF(L5&lt;25,"Low",IF(L5&lt;50,"Guarded",IF(L5&lt;75,"Elevated","High Concern")))</x:f>
      </x:c>
      <x:c r="N5">
        <x:f>IF(M5="Low","Educate / monitor",IF(M5="Guarded","Reduce moisture / recheck",IF(M5="Elevated","Professional inspection","Contain area + professional inspection")))</x:f>
      </x:c>
    </x:row>
    <x:row r="6">
      <x:c r="A6">
        <x:f>'Control Center'!A6</x:f>
      </x:c>
      <x:c r="B6">
        <x:f>'Control Center'!B6</x:f>
      </x:c>
      <x:c r="C6">
        <x:f>IF('Control Center'!C6=0,10,IF('Control Center'!C6&lt;250,10,IF('Control Center'!C6&lt;750,20,IF('Control Center'!C6&lt;1500,30,40))))</x:f>
      </x:c>
      <x:c r="D6" s="37">
        <x:f>IFERROR('Control Center'!C6/'Control Center'!D6,"")</x:f>
      </x:c>
      <x:c r="E6">
        <x:f>IF(D6="",10,IF(D6&lt;0.5,10,IF(D6&lt;1,20,IF(D6&lt;2,30,40))))</x:f>
      </x:c>
      <x:c r="F6">
        <x:f>IF('Control Center'!F6="Yes",20,IF('Control Center'!F6="Unknown",10,0))</x:f>
      </x:c>
      <x:c r="G6">
        <x:f>IF('Control Center'!G6="Yes",15,IF('Control Center'!G6="Unknown",8,0))</x:f>
      </x:c>
      <x:c r="H6">
        <x:f>IF('Control Center'!H6="Yes",15,IF('Control Center'!H6="Unknown",8,0))</x:f>
      </x:c>
      <x:c r="I6">
        <x:f>IF('Control Center'!I6="Yes",15,IF('Control Center'!I6="Unknown",8,0))</x:f>
      </x:c>
      <x:c r="J6">
        <x:f>IF('Control Center'!J6&lt;50,0,IF('Control Center'!J6&lt;60,5,IF('Control Center'!J6&lt;70,10,15)))</x:f>
      </x:c>
      <x:c r="K6">
        <x:f>IF('Control Center'!K6="Sensitive",10,5)</x:f>
      </x:c>
      <x:c r="L6">
        <x:f>SUM(C6:K6)</x:f>
      </x:c>
      <x:c r="M6">
        <x:f>IF(L6&lt;25,"Low",IF(L6&lt;50,"Guarded",IF(L6&lt;75,"Elevated","High Concern")))</x:f>
      </x:c>
      <x:c r="N6">
        <x:f>IF(M6="Low","Educate / monitor",IF(M6="Guarded","Reduce moisture / recheck",IF(M6="Elevated","Professional inspection","Contain area + professional inspection")))</x:f>
      </x:c>
    </x:row>
    <x:row r="7">
      <x:c r="A7">
        <x:f>'Control Center'!A7</x:f>
      </x:c>
      <x:c r="B7">
        <x:f>'Control Center'!B7</x:f>
      </x:c>
      <x:c r="C7">
        <x:f>IF('Control Center'!C7=0,10,IF('Control Center'!C7&lt;250,10,IF('Control Center'!C7&lt;750,20,IF('Control Center'!C7&lt;1500,30,40))))</x:f>
      </x:c>
      <x:c r="D7" s="37">
        <x:f>IFERROR('Control Center'!C7/'Control Center'!D7,"")</x:f>
      </x:c>
      <x:c r="E7">
        <x:f>IF(D7="",10,IF(D7&lt;0.5,10,IF(D7&lt;1,20,IF(D7&lt;2,30,40))))</x:f>
      </x:c>
      <x:c r="F7">
        <x:f>IF('Control Center'!F7="Yes",20,IF('Control Center'!F7="Unknown",10,0))</x:f>
      </x:c>
      <x:c r="G7">
        <x:f>IF('Control Center'!G7="Yes",15,IF('Control Center'!G7="Unknown",8,0))</x:f>
      </x:c>
      <x:c r="H7">
        <x:f>IF('Control Center'!H7="Yes",15,IF('Control Center'!H7="Unknown",8,0))</x:f>
      </x:c>
      <x:c r="I7">
        <x:f>IF('Control Center'!I7="Yes",15,IF('Control Center'!I7="Unknown",8,0))</x:f>
      </x:c>
      <x:c r="J7">
        <x:f>IF('Control Center'!J7&lt;50,0,IF('Control Center'!J7&lt;60,5,IF('Control Center'!J7&lt;70,10,15)))</x:f>
      </x:c>
      <x:c r="K7">
        <x:f>IF('Control Center'!K7="Sensitive",10,5)</x:f>
      </x:c>
      <x:c r="L7">
        <x:f>SUM(C7:K7)</x:f>
      </x:c>
      <x:c r="M7">
        <x:f>IF(L7&lt;25,"Low",IF(L7&lt;50,"Guarded",IF(L7&lt;75,"Elevated","High Concern")))</x:f>
      </x:c>
      <x:c r="N7">
        <x:f>IF(M7="Low","Educate / monitor",IF(M7="Guarded","Reduce moisture / recheck",IF(M7="Elevated","Professional inspection","Contain area + professional inspection")))</x:f>
      </x:c>
    </x:row>
    <x:row r="8">
      <x:c r="A8">
        <x:f>'Control Center'!A8</x:f>
      </x:c>
      <x:c r="B8">
        <x:f>'Control Center'!B8</x:f>
      </x:c>
      <x:c r="C8">
        <x:f>IF('Control Center'!C8=0,10,IF('Control Center'!C8&lt;250,10,IF('Control Center'!C8&lt;750,20,IF('Control Center'!C8&lt;1500,30,40))))</x:f>
      </x:c>
      <x:c r="D8" s="37">
        <x:f>IFERROR('Control Center'!C8/'Control Center'!D8,"")</x:f>
      </x:c>
      <x:c r="E8">
        <x:f>IF(D8="",10,IF(D8&lt;0.5,10,IF(D8&lt;1,20,IF(D8&lt;2,30,40))))</x:f>
      </x:c>
      <x:c r="F8">
        <x:f>IF('Control Center'!F8="Yes",20,IF('Control Center'!F8="Unknown",10,0))</x:f>
      </x:c>
      <x:c r="G8">
        <x:f>IF('Control Center'!G8="Yes",15,IF('Control Center'!G8="Unknown",8,0))</x:f>
      </x:c>
      <x:c r="H8">
        <x:f>IF('Control Center'!H8="Yes",15,IF('Control Center'!H8="Unknown",8,0))</x:f>
      </x:c>
      <x:c r="I8">
        <x:f>IF('Control Center'!I8="Yes",15,IF('Control Center'!I8="Unknown",8,0))</x:f>
      </x:c>
      <x:c r="J8">
        <x:f>IF('Control Center'!J8&lt;50,0,IF('Control Center'!J8&lt;60,5,IF('Control Center'!J8&lt;70,10,15)))</x:f>
      </x:c>
      <x:c r="K8">
        <x:f>IF('Control Center'!K8="Sensitive",10,5)</x:f>
      </x:c>
      <x:c r="L8">
        <x:f>SUM(C8:K8)</x:f>
      </x:c>
      <x:c r="M8">
        <x:f>IF(L8&lt;25,"Low",IF(L8&lt;50,"Guarded",IF(L8&lt;75,"Elevated","High Concern")))</x:f>
      </x:c>
      <x:c r="N8">
        <x:f>IF(M8="Low","Educate / monitor",IF(M8="Guarded","Reduce moisture / recheck",IF(M8="Elevated","Professional inspection","Contain area + professional inspection")))</x:f>
      </x:c>
    </x:row>
    <x:row r="9">
      <x:c r="A9">
        <x:f>'Control Center'!A9</x:f>
      </x:c>
      <x:c r="B9">
        <x:f>'Control Center'!B9</x:f>
      </x:c>
      <x:c r="C9">
        <x:f>IF('Control Center'!C9=0,10,IF('Control Center'!C9&lt;250,10,IF('Control Center'!C9&lt;750,20,IF('Control Center'!C9&lt;1500,30,40))))</x:f>
      </x:c>
      <x:c r="D9" s="37">
        <x:f>IFERROR('Control Center'!C9/'Control Center'!D9,"")</x:f>
      </x:c>
      <x:c r="E9">
        <x:f>IF(D9="",10,IF(D9&lt;0.5,10,IF(D9&lt;1,20,IF(D9&lt;2,30,40))))</x:f>
      </x:c>
      <x:c r="F9">
        <x:f>IF('Control Center'!F9="Yes",20,IF('Control Center'!F9="Unknown",10,0))</x:f>
      </x:c>
      <x:c r="G9">
        <x:f>IF('Control Center'!G9="Yes",15,IF('Control Center'!G9="Unknown",8,0))</x:f>
      </x:c>
      <x:c r="H9">
        <x:f>IF('Control Center'!H9="Yes",15,IF('Control Center'!H9="Unknown",8,0))</x:f>
      </x:c>
      <x:c r="I9">
        <x:f>IF('Control Center'!I9="Yes",15,IF('Control Center'!I9="Unknown",8,0))</x:f>
      </x:c>
      <x:c r="J9">
        <x:f>IF('Control Center'!J9&lt;50,0,IF('Control Center'!J9&lt;60,5,IF('Control Center'!J9&lt;70,10,15)))</x:f>
      </x:c>
      <x:c r="K9">
        <x:f>IF('Control Center'!K9="Sensitive",10,5)</x:f>
      </x:c>
      <x:c r="L9">
        <x:f>SUM(C9:K9)</x:f>
      </x:c>
      <x:c r="M9">
        <x:f>IF(L9&lt;25,"Low",IF(L9&lt;50,"Guarded",IF(L9&lt;75,"Elevated","High Concern")))</x:f>
      </x:c>
      <x:c r="N9">
        <x:f>IF(M9="Low","Educate / monitor",IF(M9="Guarded","Reduce moisture / recheck",IF(M9="Elevated","Professional inspection","Contain area + professional inspection")))</x:f>
      </x:c>
    </x:row>
  </x:sheetData>
  <x:mergeCells>
    <x:mergeCell ref="A2:N2"/>
    <x:mergeCell ref="A1:N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10" customWidth="1"/>
    <x:col min="3" max="3" width="10" customWidth="1"/>
    <x:col min="4" max="4" width="18" customWidth="1"/>
    <x:col min="5" max="5" width="18" customWidth="1"/>
    <x:col min="6" max="6" width="18" customWidth="1"/>
    <x:col min="7" max="7" width="17" customWidth="1"/>
    <x:col min="8" max="8" width="16" customWidth="1"/>
    <x:col min="9" max="9" width="21" customWidth="1"/>
    <x:col min="10" max="10" width="12" customWidth="1"/>
    <x:col min="11" max="11" width="20" customWidth="1"/>
    <x:col min="12" max="12" width="18" customWidth="1"/>
    <x:col min="13" max="13" width="15" customWidth="1"/>
    <x:col min="14" max="14" width="26" customWidth="1"/>
    <x:col min="15" max="15" width="22" customWidth="1"/>
    <x:col min="16" max="16" width="22" customWidth="1"/>
    <x:col min="17" max="17" width="26" customWidth="1"/>
    <x:col min="18" max="18" width="21" customWidth="1"/>
    <x:col min="19" max="19" width="24" customWidth="1"/>
    <x:col min="20" max="20" width="26" customWidth="1"/>
  </x:cols>
  <x:sheetData>
    <x:row r="1">
      <x:c r="A1" s="25" t="inlineStr">
        <x:is>
          <x:t xml:space="preserve">Home Health AI – Field Input Template</x:t>
        </x:is>
      </x:c>
    </x:row>
    <x:row r="2">
      <x:c r="A2" s="32" t="inlineStr">
        <x:is>
          <x:t xml:space="preserve">Suggested structured inputs for app upload, inspector workflow, or API payload generation.</x:t>
        </x:is>
      </x:c>
    </x:row>
    <x:row r="3"/>
    <x:row r="4">
      <x:c r="A4" s="38" t="inlineStr">
        <x:is>
          <x:t xml:space="preserve">case_id</x:t>
        </x:is>
      </x:c>
      <x:c r="B4" s="38" t="inlineStr">
        <x:is>
          <x:t xml:space="preserve">photo_id</x:t>
        </x:is>
      </x:c>
      <x:c r="C4" s="38" t="inlineStr">
        <x:is>
          <x:t xml:space="preserve">room</x:t>
        </x:is>
      </x:c>
      <x:c r="D4" s="38" t="inlineStr">
        <x:is>
          <x:t xml:space="preserve">surface_material</x:t>
        </x:is>
      </x:c>
      <x:c r="E4" s="38" t="inlineStr">
        <x:is>
          <x:t xml:space="preserve">surface_porosity</x:t>
        </x:is>
      </x:c>
      <x:c r="F4" s="38" t="inlineStr">
        <x:is>
          <x:t xml:space="preserve">visible_color</x:t>
        </x:is>
      </x:c>
      <x:c r="G4" s="38" t="inlineStr">
        <x:is>
          <x:t xml:space="preserve">visible_texture</x:t>
        </x:is>
      </x:c>
      <x:c r="H4" s="38" t="inlineStr">
        <x:is>
          <x:t xml:space="preserve">growth_pattern</x:t>
        </x:is>
      </x:c>
      <x:c r="I4" s="38" t="inlineStr">
        <x:is>
          <x:t xml:space="preserve">estimated_area_sqft</x:t>
        </x:is>
      </x:c>
      <x:c r="J4" s="38" t="inlineStr">
        <x:is>
          <x:t xml:space="preserve">musty_odor</x:t>
        </x:is>
      </x:c>
      <x:c r="K4" s="38" t="inlineStr">
        <x:is>
          <x:t xml:space="preserve">recent_water_event</x:t>
        </x:is>
      </x:c>
      <x:c r="L4" s="38" t="inlineStr">
        <x:is>
          <x:t xml:space="preserve">humidity_percent</x:t>
        </x:is>
      </x:c>
      <x:c r="M4" s="38" t="inlineStr">
        <x:is>
          <x:t xml:space="preserve">temperature_f</x:t>
        </x:is>
      </x:c>
      <x:c r="N4" s="38" t="inlineStr">
        <x:is>
          <x:t xml:space="preserve">occupant_symptoms_reported</x:t>
        </x:is>
      </x:c>
      <x:c r="O4" s="38" t="inlineStr">
        <x:is>
          <x:t xml:space="preserve">air_sample_available</x:t>
        </x:is>
      </x:c>
      <x:c r="P4" s="38" t="inlineStr">
        <x:is>
          <x:t xml:space="preserve">lab_sample_available</x:t>
        </x:is>
      </x:c>
      <x:c r="Q4" s="38" t="inlineStr">
        <x:is>
          <x:t xml:space="preserve">ai_initial_label</x:t>
        </x:is>
      </x:c>
      <x:c r="R4" s="38" t="inlineStr">
        <x:is>
          <x:t xml:space="preserve">human_review_needed</x:t>
        </x:is>
      </x:c>
      <x:c r="S4" s="38" t="inlineStr">
        <x:is>
          <x:t xml:space="preserve">final_disposition</x:t>
        </x:is>
      </x:c>
      <x:c r="T4" s="38" t="inlineStr">
        <x:is>
          <x:t xml:space="preserve">notes</x:t>
        </x:is>
      </x:c>
    </x:row>
    <x:row r="5">
      <x:c r="A5" t="inlineStr">
        <x:is>
          <x:t xml:space="preserve">CASE-001</x:t>
        </x:is>
      </x:c>
      <x:c r="B5" t="inlineStr">
        <x:is>
          <x:t xml:space="preserve">IMG-001</x:t>
        </x:is>
      </x:c>
      <x:c r="C5" t="inlineStr">
        <x:is>
          <x:t xml:space="preserve">Bathroom</x:t>
        </x:is>
      </x:c>
      <x:c r="D5" t="inlineStr">
        <x:is>
          <x:t xml:space="preserve">Drywall</x:t>
        </x:is>
      </x:c>
      <x:c r="E5" t="inlineStr">
        <x:is>
          <x:t xml:space="preserve">Porous</x:t>
        </x:is>
      </x:c>
      <x:c r="F5" t="inlineStr">
        <x:is>
          <x:t xml:space="preserve">Dark green/black</x:t>
        </x:is>
      </x:c>
      <x:c r="G5" t="inlineStr">
        <x:is>
          <x:t xml:space="preserve">Slimy</x:t>
        </x:is>
      </x:c>
      <x:c r="H5" t="inlineStr">
        <x:is>
          <x:t xml:space="preserve">Patchy</x:t>
        </x:is>
      </x:c>
      <x:c r="I5" t="n">
        <x:v>6</x:v>
      </x:c>
      <x:c r="J5" t="inlineStr">
        <x:is>
          <x:t xml:space="preserve">Yes</x:t>
        </x:is>
      </x:c>
      <x:c r="K5" t="inlineStr">
        <x:is>
          <x:t xml:space="preserve">Yes</x:t>
        </x:is>
      </x:c>
      <x:c r="L5" t="n">
        <x:v>69</x:v>
      </x:c>
      <x:c r="M5" t="n">
        <x:v>68</x:v>
      </x:c>
      <x:c r="N5" t="inlineStr">
        <x:is>
          <x:t xml:space="preserve">Yes</x:t>
        </x:is>
      </x:c>
      <x:c r="O5" t="inlineStr">
        <x:is>
          <x:t xml:space="preserve">No</x:t>
        </x:is>
      </x:c>
      <x:c r="P5" t="inlineStr">
        <x:is>
          <x:t xml:space="preserve">No</x:t>
        </x:is>
      </x:c>
      <x:c r="Q5" t="inlineStr">
        <x:is>
          <x:t xml:space="preserve">Possible Stachybotrys-like</x:t>
        </x:is>
      </x:c>
      <x:c r="R5" t="inlineStr">
        <x:is>
          <x:t xml:space="preserve">Yes</x:t>
        </x:is>
      </x:c>
      <x:c r="S5" t="inlineStr">
        <x:is>
          <x:t xml:space="preserve">Escalate to inspection</x:t>
        </x:is>
      </x:c>
      <x:c r="T5" t="inlineStr">
        <x:is>
          <x:t xml:space="preserve">Visible growth near shower wall</x:t>
        </x:is>
      </x:c>
    </x:row>
    <x:row r="6">
      <x:c r="A6" t="inlineStr">
        <x:is>
          <x:t xml:space="preserve">CASE-002</x:t>
        </x:is>
      </x:c>
      <x:c r="B6" t="inlineStr">
        <x:is>
          <x:t xml:space="preserve">IMG-002</x:t>
        </x:is>
      </x:c>
      <x:c r="C6" t="inlineStr">
        <x:is>
          <x:t xml:space="preserve">Bedroom</x:t>
        </x:is>
      </x:c>
      <x:c r="D6" t="inlineStr">
        <x:is>
          <x:t xml:space="preserve">Window sill</x:t>
        </x:is>
      </x:c>
      <x:c r="E6" t="inlineStr">
        <x:is>
          <x:t xml:space="preserve">Non-porous</x:t>
        </x:is>
      </x:c>
      <x:c r="F6" t="inlineStr">
        <x:is>
          <x:t xml:space="preserve">Olive green</x:t>
        </x:is>
      </x:c>
      <x:c r="G6" t="inlineStr">
        <x:is>
          <x:t xml:space="preserve">Velvety</x:t>
        </x:is>
      </x:c>
      <x:c r="H6" t="inlineStr">
        <x:is>
          <x:t xml:space="preserve">Linear</x:t>
        </x:is>
      </x:c>
      <x:c r="I6" t="n">
        <x:v>1</x:v>
      </x:c>
      <x:c r="J6" t="inlineStr">
        <x:is>
          <x:t xml:space="preserve">No</x:t>
        </x:is>
      </x:c>
      <x:c r="K6" t="inlineStr">
        <x:is>
          <x:t xml:space="preserve">No</x:t>
        </x:is>
      </x:c>
      <x:c r="L6" t="n">
        <x:v>52</x:v>
      </x:c>
      <x:c r="M6" t="n">
        <x:v>70</x:v>
      </x:c>
      <x:c r="N6" t="inlineStr">
        <x:is>
          <x:t xml:space="preserve">No</x:t>
        </x:is>
      </x:c>
      <x:c r="O6" t="inlineStr">
        <x:is>
          <x:t xml:space="preserve">No</x:t>
        </x:is>
      </x:c>
      <x:c r="P6" t="inlineStr">
        <x:is>
          <x:t xml:space="preserve">No</x:t>
        </x:is>
      </x:c>
      <x:c r="Q6" t="inlineStr">
        <x:is>
          <x:t xml:space="preserve">Cladosporium-like</x:t>
        </x:is>
      </x:c>
      <x:c r="R6" t="inlineStr">
        <x:is>
          <x:t xml:space="preserve">Maybe</x:t>
        </x:is>
      </x:c>
      <x:c r="S6" t="inlineStr">
        <x:is>
          <x:t xml:space="preserve">Clean + monitor</x:t>
        </x:is>
      </x:c>
      <x:c r="T6" t="inlineStr">
        <x:is>
          <x:t xml:space="preserve">Likely condensation-associated</x:t>
        </x:is>
      </x:c>
    </x:row>
  </x:sheetData>
  <x:mergeCells>
    <x:mergeCell ref="A2:N2"/>
    <x:mergeCell ref="A1:N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7" customWidth="1"/>
    <x:col min="3" max="3" width="19" customWidth="1"/>
    <x:col min="4" max="4" width="11" customWidth="1"/>
    <x:col min="5" max="5" width="10" customWidth="1"/>
    <x:col min="6" max="6" width="28" customWidth="1"/>
    <x:col min="7" max="7" width="28" customWidth="1"/>
    <x:col min="8" max="8" width="21" customWidth="1"/>
    <x:col min="9" max="9" width="28" customWidth="1"/>
    <x:col min="10" max="10" width="15" customWidth="1"/>
  </x:cols>
  <x:sheetData>
    <x:row r="1">
      <x:c r="A1" s="25" t="inlineStr">
        <x:is>
          <x:t xml:space="preserve">Home Health AI – API Mapping</x:t>
        </x:is>
      </x:c>
    </x:row>
    <x:row r="2">
      <x:c r="A2" s="32" t="inlineStr">
        <x:is>
          <x:t xml:space="preserve">Simple field mapping for developer handoff from workbook logic to app/backend schema.</x:t>
        </x:is>
      </x:c>
    </x:row>
    <x:row r="3"/>
    <x:row r="4">
      <x:c r="A4" s="39" t="inlineStr">
        <x:is>
          <x:t xml:space="preserve">workbook_sheet</x:t>
        </x:is>
      </x:c>
      <x:c r="B4" s="39" t="inlineStr">
        <x:is>
          <x:t xml:space="preserve">workbook_field</x:t>
        </x:is>
      </x:c>
      <x:c r="C4" s="39" t="inlineStr">
        <x:is>
          <x:t xml:space="preserve">api_field_name</x:t>
        </x:is>
      </x:c>
      <x:c r="D4" s="39" t="inlineStr">
        <x:is>
          <x:t xml:space="preserve">data_type</x:t>
        </x:is>
      </x:c>
      <x:c r="E4" s="39" t="inlineStr">
        <x:is>
          <x:t xml:space="preserve">required</x:t>
        </x:is>
      </x:c>
      <x:c r="F4" s="39" t="inlineStr">
        <x:is>
          <x:t xml:space="preserve">description</x:t>
        </x:is>
      </x:c>
      <x:c r="G4" s="39" t="inlineStr">
        <x:is>
          <x:t xml:space="preserve">example_value</x:t>
        </x:is>
      </x:c>
      <x:c r="H4" s="39" t="inlineStr">
        <x:is>
          <x:t xml:space="preserve">source_logic</x:t>
        </x:is>
      </x:c>
      <x:c r="I4" s="39" t="inlineStr">
        <x:is>
          <x:t xml:space="preserve">notes</x:t>
        </x:is>
      </x:c>
      <x:c r="J4" s="39" t="inlineStr">
        <x:is>
          <x:t xml:space="preserve">owner</x:t>
        </x:is>
      </x:c>
    </x:row>
    <x:row r="5">
      <x:c r="A5" t="inlineStr">
        <x:is>
          <x:t xml:space="preserve">Field Input Template</x:t>
        </x:is>
      </x:c>
      <x:c r="B5" t="inlineStr">
        <x:is>
          <x:t xml:space="preserve">case_id</x:t>
        </x:is>
      </x:c>
      <x:c r="C5" t="inlineStr">
        <x:is>
          <x:t xml:space="preserve">caseId</x:t>
        </x:is>
      </x:c>
      <x:c r="D5" t="inlineStr">
        <x:is>
          <x:t xml:space="preserve">string</x:t>
        </x:is>
      </x:c>
      <x:c r="E5" t="inlineStr">
        <x:is>
          <x:t xml:space="preserve">Yes</x:t>
        </x:is>
      </x:c>
      <x:c r="F5" t="inlineStr">
        <x:is>
          <x:t xml:space="preserve">Unique case identifier</x:t>
        </x:is>
      </x:c>
      <x:c r="G5" t="inlineStr">
        <x:is>
          <x:t xml:space="preserve">CASE-001</x:t>
        </x:is>
      </x:c>
      <x:c r="H5" t="inlineStr">
        <x:is>
          <x:t xml:space="preserve">App-generated</x:t>
        </x:is>
      </x:c>
      <x:c r="I5" t="inlineStr">
        <x:is>
          <x:t xml:space="preserve">Primary key</x:t>
        </x:is>
      </x:c>
      <x:c r="J5" t="inlineStr">
        <x:is>
          <x:t xml:space="preserve">App</x:t>
        </x:is>
      </x:c>
    </x:row>
    <x:row r="6">
      <x:c r="A6" t="inlineStr">
        <x:is>
          <x:t xml:space="preserve">Field Input Template</x:t>
        </x:is>
      </x:c>
      <x:c r="B6" t="inlineStr">
        <x:is>
          <x:t xml:space="preserve">photo_id</x:t>
        </x:is>
      </x:c>
      <x:c r="C6" t="inlineStr">
        <x:is>
          <x:t xml:space="preserve">photoId</x:t>
        </x:is>
      </x:c>
      <x:c r="D6" t="inlineStr">
        <x:is>
          <x:t xml:space="preserve">string</x:t>
        </x:is>
      </x:c>
      <x:c r="E6" t="inlineStr">
        <x:is>
          <x:t xml:space="preserve">Yes</x:t>
        </x:is>
      </x:c>
      <x:c r="F6" t="inlineStr">
        <x:is>
          <x:t xml:space="preserve">Image upload identifier</x:t>
        </x:is>
      </x:c>
      <x:c r="G6" t="inlineStr">
        <x:is>
          <x:t xml:space="preserve">IMG-001</x:t>
        </x:is>
      </x:c>
      <x:c r="H6" t="inlineStr">
        <x:is>
          <x:t xml:space="preserve">Upload service</x:t>
        </x:is>
      </x:c>
      <x:c r="I6" t="inlineStr">
        <x:is>
          <x:t xml:space="preserve">Link to CV pipeline</x:t>
        </x:is>
      </x:c>
      <x:c r="J6" t="inlineStr">
        <x:is>
          <x:t xml:space="preserve">App</x:t>
        </x:is>
      </x:c>
    </x:row>
    <x:row r="7">
      <x:c r="A7" t="inlineStr">
        <x:is>
          <x:t xml:space="preserve">Field Input Template</x:t>
        </x:is>
      </x:c>
      <x:c r="B7" t="inlineStr">
        <x:is>
          <x:t xml:space="preserve">humidity_percent</x:t>
        </x:is>
      </x:c>
      <x:c r="C7" t="inlineStr">
        <x:is>
          <x:t xml:space="preserve">humidityPct</x:t>
        </x:is>
      </x:c>
      <x:c r="D7" t="inlineStr">
        <x:is>
          <x:t xml:space="preserve">number</x:t>
        </x:is>
      </x:c>
      <x:c r="E7" t="inlineStr">
        <x:is>
          <x:t xml:space="preserve">No</x:t>
        </x:is>
      </x:c>
      <x:c r="F7" t="inlineStr">
        <x:is>
          <x:t xml:space="preserve">Ambient humidity during inspection</x:t>
        </x:is>
      </x:c>
      <x:c r="G7" t="n">
        <x:v>69</x:v>
      </x:c>
      <x:c r="H7" t="inlineStr">
        <x:is>
          <x:t xml:space="preserve">Sensor/manual entry</x:t>
        </x:is>
      </x:c>
      <x:c r="I7" t="inlineStr">
        <x:is>
          <x:t xml:space="preserve">Use in moisture scoring</x:t>
        </x:is>
      </x:c>
      <x:c r="J7" t="inlineStr">
        <x:is>
          <x:t xml:space="preserve">App/Inspector</x:t>
        </x:is>
      </x:c>
    </x:row>
    <x:row r="8">
      <x:c r="A8" t="inlineStr">
        <x:is>
          <x:t xml:space="preserve">Mold Species Database</x:t>
        </x:is>
      </x:c>
      <x:c r="B8" t="inlineStr">
        <x:is>
          <x:t xml:space="preserve">species_name</x:t>
        </x:is>
      </x:c>
      <x:c r="C8" t="inlineStr">
        <x:is>
          <x:t xml:space="preserve">speciesName</x:t>
        </x:is>
      </x:c>
      <x:c r="D8" t="inlineStr">
        <x:is>
          <x:t xml:space="preserve">string</x:t>
        </x:is>
      </x:c>
      <x:c r="E8" t="inlineStr">
        <x:is>
          <x:t xml:space="preserve">Yes</x:t>
        </x:is>
      </x:c>
      <x:c r="F8" t="inlineStr">
        <x:is>
          <x:t xml:space="preserve">Canonical species or grouped label</x:t>
        </x:is>
      </x:c>
      <x:c r="G8" t="inlineStr">
        <x:is>
          <x:t xml:space="preserve">Stachybotrys chartarum</x:t>
        </x:is>
      </x:c>
      <x:c r="H8" t="inlineStr">
        <x:is>
          <x:t xml:space="preserve">Reference table</x:t>
        </x:is>
      </x:c>
      <x:c r="I8" t="inlineStr">
        <x:is>
          <x:t xml:space="preserve">Taxonomy source</x:t>
        </x:is>
      </x:c>
      <x:c r="J8" t="inlineStr">
        <x:is>
          <x:t xml:space="preserve">Data</x:t>
        </x:is>
      </x:c>
    </x:row>
    <x:row r="9">
      <x:c r="A9" t="inlineStr">
        <x:is>
          <x:t xml:space="preserve">Mold Species Database</x:t>
        </x:is>
      </x:c>
      <x:c r="B9" t="inlineStr">
        <x:is>
          <x:t xml:space="preserve">ai_visual_group</x:t>
        </x:is>
      </x:c>
      <x:c r="C9" t="inlineStr">
        <x:is>
          <x:t xml:space="preserve">visualGroup</x:t>
        </x:is>
      </x:c>
      <x:c r="D9" t="inlineStr">
        <x:is>
          <x:t xml:space="preserve">string</x:t>
        </x:is>
      </x:c>
      <x:c r="E9" t="inlineStr">
        <x:is>
          <x:t xml:space="preserve">Yes</x:t>
        </x:is>
      </x:c>
      <x:c r="F9" t="inlineStr">
        <x:is>
          <x:t xml:space="preserve">Computer-vision-safe grouping</x:t>
        </x:is>
      </x:c>
      <x:c r="G9" t="inlineStr">
        <x:is>
          <x:t xml:space="preserve">Aspergillus/Penicillium</x:t>
        </x:is>
      </x:c>
      <x:c r="H9" t="inlineStr">
        <x:is>
          <x:t xml:space="preserve">Reference table</x:t>
        </x:is>
      </x:c>
      <x:c r="I9" t="inlineStr">
        <x:is>
          <x:t xml:space="preserve">Prevents false precision</x:t>
        </x:is>
      </x:c>
      <x:c r="J9" t="inlineStr">
        <x:is>
          <x:t xml:space="preserve">Data</x:t>
        </x:is>
      </x:c>
    </x:row>
    <x:row r="10">
      <x:c r="A10" t="inlineStr">
        <x:is>
          <x:t xml:space="preserve">IAQ Scoring Engine</x:t>
        </x:is>
      </x:c>
      <x:c r="B10" t="inlineStr">
        <x:is>
          <x:t xml:space="preserve">total_risk_score</x:t>
        </x:is>
      </x:c>
      <x:c r="C10" t="inlineStr">
        <x:is>
          <x:t xml:space="preserve">riskScore</x:t>
        </x:is>
      </x:c>
      <x:c r="D10" t="inlineStr">
        <x:is>
          <x:t xml:space="preserve">number</x:t>
        </x:is>
      </x:c>
      <x:c r="E10" t="inlineStr">
        <x:is>
          <x:t xml:space="preserve">Yes</x:t>
        </x:is>
      </x:c>
      <x:c r="F10" t="inlineStr">
        <x:is>
          <x:t xml:space="preserve">Composite model score</x:t>
        </x:is>
      </x:c>
      <x:c r="G10" t="n">
        <x:v>82</x:v>
      </x:c>
      <x:c r="H10" t="inlineStr">
        <x:is>
          <x:t xml:space="preserve">Formula</x:t>
        </x:is>
      </x:c>
      <x:c r="I10" t="inlineStr">
        <x:is>
          <x:t xml:space="preserve">0-100+</x:t>
        </x:is>
      </x:c>
      <x:c r="J10" t="inlineStr">
        <x:is>
          <x:t xml:space="preserve">Logic</x:t>
        </x:is>
      </x:c>
    </x:row>
    <x:row r="11">
      <x:c r="A11" t="inlineStr">
        <x:is>
          <x:t xml:space="preserve">IAQ Scoring Engine</x:t>
        </x:is>
      </x:c>
      <x:c r="B11" t="inlineStr">
        <x:is>
          <x:t xml:space="preserve">risk_band</x:t>
        </x:is>
      </x:c>
      <x:c r="C11" t="inlineStr">
        <x:is>
          <x:t xml:space="preserve">riskBand</x:t>
        </x:is>
      </x:c>
      <x:c r="D11" t="inlineStr">
        <x:is>
          <x:t xml:space="preserve">string</x:t>
        </x:is>
      </x:c>
      <x:c r="E11" t="inlineStr">
        <x:is>
          <x:t xml:space="preserve">Yes</x:t>
        </x:is>
      </x:c>
      <x:c r="F11" t="inlineStr">
        <x:is>
          <x:t xml:space="preserve">Human-readable risk bucket</x:t>
        </x:is>
      </x:c>
      <x:c r="G11" t="inlineStr">
        <x:is>
          <x:t xml:space="preserve">High Concern</x:t>
        </x:is>
      </x:c>
      <x:c r="H11" t="inlineStr">
        <x:is>
          <x:t xml:space="preserve">Formula</x:t>
        </x:is>
      </x:c>
      <x:c r="I11" t="inlineStr">
        <x:is>
          <x:t xml:space="preserve">Shown to user and inspector</x:t>
        </x:is>
      </x:c>
      <x:c r="J11" t="inlineStr">
        <x:is>
          <x:t xml:space="preserve">Logic</x:t>
        </x:is>
      </x:c>
    </x:row>
    <x:row r="12">
      <x:c r="A12" t="inlineStr">
        <x:is>
          <x:t xml:space="preserve">IAQ Scoring Engine</x:t>
        </x:is>
      </x:c>
      <x:c r="B12" t="inlineStr">
        <x:is>
          <x:t xml:space="preserve">recommended_action</x:t>
        </x:is>
      </x:c>
      <x:c r="C12" t="inlineStr">
        <x:is>
          <x:t xml:space="preserve">recommendedAction</x:t>
        </x:is>
      </x:c>
      <x:c r="D12" t="inlineStr">
        <x:is>
          <x:t xml:space="preserve">string</x:t>
        </x:is>
      </x:c>
      <x:c r="E12" t="inlineStr">
        <x:is>
          <x:t xml:space="preserve">Yes</x:t>
        </x:is>
      </x:c>
      <x:c r="F12" t="inlineStr">
        <x:is>
          <x:t xml:space="preserve">Next-step recommendation</x:t>
        </x:is>
      </x:c>
      <x:c r="G12" t="inlineStr">
        <x:is>
          <x:t xml:space="preserve">Contain area + professional inspection</x:t>
        </x:is>
      </x:c>
      <x:c r="H12" t="inlineStr">
        <x:is>
          <x:t xml:space="preserve">Formula</x:t>
        </x:is>
      </x:c>
      <x:c r="I12" t="inlineStr">
        <x:is>
          <x:t xml:space="preserve">Non-medical guidance</x:t>
        </x:is>
      </x:c>
      <x:c r="J12" t="inlineStr">
        <x:is>
          <x:t xml:space="preserve">Logic</x:t>
        </x:is>
      </x:c>
    </x:row>
    <x:row r="13">
      <x:c r="A13" t="inlineStr">
        <x:is>
          <x:t xml:space="preserve">Real Lab Data Training</x:t>
        </x:is>
      </x:c>
      <x:c r="B13" t="inlineStr">
        <x:is>
          <x:t xml:space="preserve">spores_per_m3</x:t>
        </x:is>
      </x:c>
      <x:c r="C13" t="inlineStr">
        <x:is>
          <x:t xml:space="preserve">sporesPerM3</x:t>
        </x:is>
      </x:c>
      <x:c r="D13" t="inlineStr">
        <x:is>
          <x:t xml:space="preserve">number</x:t>
        </x:is>
      </x:c>
      <x:c r="E13" t="inlineStr">
        <x:is>
          <x:t xml:space="preserve">No</x:t>
        </x:is>
      </x:c>
      <x:c r="F13" t="inlineStr">
        <x:is>
          <x:t xml:space="preserve">Normalized lab result count</x:t>
        </x:is>
      </x:c>
      <x:c r="G13" t="n">
        <x:v>247</x:v>
      </x:c>
      <x:c r="H13" t="inlineStr">
        <x:is>
          <x:t xml:space="preserve">Uploaded reports</x:t>
        </x:is>
      </x:c>
      <x:c r="I13" t="inlineStr">
        <x:is>
          <x:t xml:space="preserve">Training/QA data</x:t>
        </x:is>
      </x:c>
      <x:c r="J13" t="inlineStr">
        <x:is>
          <x:t xml:space="preserve">Data</x:t>
        </x:is>
      </x:c>
    </x:row>
    <x:row r="14">
      <x:c r="A14" t="inlineStr">
        <x:is>
          <x:t xml:space="preserve">Lab Interpretation Rules</x:t>
        </x:is>
      </x:c>
      <x:c r="B14" t="inlineStr">
        <x:is>
          <x:t xml:space="preserve">lab rule / interpretation</x:t>
        </x:is>
      </x:c>
      <x:c r="C14" t="inlineStr">
        <x:is>
          <x:t xml:space="preserve">labRuleText</x:t>
        </x:is>
      </x:c>
      <x:c r="D14" t="inlineStr">
        <x:is>
          <x:t xml:space="preserve">string</x:t>
        </x:is>
      </x:c>
      <x:c r="E14" t="inlineStr">
        <x:is>
          <x:t xml:space="preserve">No</x:t>
        </x:is>
      </x:c>
      <x:c r="F14" t="inlineStr">
        <x:is>
          <x:t xml:space="preserve">Safety and interpretation guidance</x:t>
        </x:is>
      </x:c>
      <x:c r="G14" t="inlineStr">
        <x:is>
          <x:t xml:space="preserve">Indoor air is compared to exterior baseline</x:t>
        </x:is>
      </x:c>
      <x:c r="H14" t="inlineStr">
        <x:is>
          <x:t xml:space="preserve">Uploaded reports</x:t>
        </x:is>
      </x:c>
      <x:c r="I14" t="inlineStr">
        <x:is>
          <x:t xml:space="preserve">Prompt conditioning</x:t>
        </x:is>
      </x:c>
      <x:c r="J14" t="inlineStr">
        <x:is>
          <x:t xml:space="preserve">Policy/Logic</x:t>
        </x:is>
      </x:c>
    </x:row>
  </x:sheetData>
  <x:mergeCells>
    <x:mergeCell ref="A1:J1"/>
    <x:mergeCell ref="A2:J2"/>
  </x:mergeCells>
  <x:pageMargins left="0.7" right="0.7" top="0.75" bottom="0.75" header="0.3" footer="0.3"/>
</x:worksheet>
</file>