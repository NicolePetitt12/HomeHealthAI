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ld_species_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I Early Detection Signs" sheetId="3" state="visible" r:id="rId3"/>
    <sheet xmlns:r="http://schemas.openxmlformats.org/officeDocument/2006/relationships" name="Cleaning Agents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Core Mold Logic" sheetId="6" state="visible" r:id="rId6"/>
    <sheet xmlns:r="http://schemas.openxmlformats.org/officeDocument/2006/relationships" name="Interpretation Examples" sheetId="7" state="visible" r:id="rId7"/>
    <sheet xmlns:r="http://schemas.openxmlformats.org/officeDocument/2006/relationships" name="AI Decision Tree" sheetId="8" state="visible" r:id="rId8"/>
    <sheet xmlns:r="http://schemas.openxmlformats.org/officeDocument/2006/relationships" name="Risk Scoring Model" sheetId="9" state="visible" r:id="rId9"/>
    <sheet xmlns:r="http://schemas.openxmlformats.org/officeDocument/2006/relationships" name="Inspection Language" sheetId="10" state="visible" r:id="rId10"/>
    <sheet xmlns:r="http://schemas.openxmlformats.org/officeDocument/2006/relationships" name="Moisture Source Classification" sheetId="11" state="visible" r:id="rId11"/>
    <sheet xmlns:r="http://schemas.openxmlformats.org/officeDocument/2006/relationships" name="Room Inspection Logic" sheetId="12" state="visible" r:id="rId12"/>
    <sheet xmlns:r="http://schemas.openxmlformats.org/officeDocument/2006/relationships" name="Remediation Framework" sheetId="13" state="visible" r:id="rId13"/>
    <sheet xmlns:r="http://schemas.openxmlformats.org/officeDocument/2006/relationships" name="Image Label Taxonomy" sheetId="14" state="visible" r:id="rId14"/>
    <sheet xmlns:r="http://schemas.openxmlformats.org/officeDocument/2006/relationships" name="Training Annotation Template" sheetId="15" state="visible" r:id="rId15"/>
    <sheet xmlns:r="http://schemas.openxmlformats.org/officeDocument/2006/relationships" name="Lab Interpretation Rules" sheetId="16" state="visible" r:id="rId16"/>
    <sheet xmlns:r="http://schemas.openxmlformats.org/officeDocument/2006/relationships" name="Lab Sample Examples" sheetId="17" state="visible" r:id="rId17"/>
    <sheet xmlns:r="http://schemas.openxmlformats.org/officeDocument/2006/relationships" name="Control Center" sheetId="18" state="visible" r:id="rId18"/>
    <sheet xmlns:r="http://schemas.openxmlformats.org/officeDocument/2006/relationships" name="Real Lab Data Training" sheetId="19" state="visible" r:id="rId19"/>
    <sheet xmlns:r="http://schemas.openxmlformats.org/officeDocument/2006/relationships" name="IAQ Scoring Engine" sheetId="20" state="visible" r:id="rId20"/>
    <sheet xmlns:r="http://schemas.openxmlformats.org/officeDocument/2006/relationships" name="Field Input Template" sheetId="21" state="visible" r:id="rId21"/>
    <sheet xmlns:r="http://schemas.openxmlformats.org/officeDocument/2006/relationships" name="API Mapping" sheetId="22" state="visible" r:id="rId22"/>
  </sheets>
  <definedNames>
    <definedName name="_xlnm._FilterDatabase" localSheetId="17" hidden="1">'Control Center'!$A$4:$L$9</definedName>
    <definedName name="_xlnm._FilterDatabase" localSheetId="18" hidden="1">'Real Lab Data Training'!$A$4:$T$24</definedName>
    <definedName name="_xlnm._FilterDatabase" localSheetId="19" hidden="1">'IAQ Scoring Engine'!$A$4:$N$9</definedName>
    <definedName name="_xlnm._FilterDatabase" localSheetId="20" hidden="1">'Field Input Template'!$A$4:$T$6</definedName>
    <definedName name="_xlnm._FilterDatabase" localSheetId="21" hidden="1">'API Mapping'!$A$4:$J$14</definedName>
  </definedNames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.0"/>
    <numFmt numFmtId="167" formatCode="0.0x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  <font>
      <b val="1"/>
      <color rgb="00FFFFFF"/>
      <sz val="11"/>
    </font>
    <font>
      <b val="1"/>
      <color rgb="000000FF"/>
    </font>
    <font/>
    <font>
      <color rgb="000000FF"/>
    </font>
    <font>
      <color rgb="00000000"/>
    </font>
    <font>
      <color rgb="0080808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7F9FB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F0F0"/>
      </patternFill>
    </fill>
  </fills>
  <borders count="5">
    <border>
      <left/>
      <right/>
      <top/>
      <bottom/>
      <diagonal/>
    </border>
    <border>
      <bottom style="thin">
        <color rgb="00BFBFBF"/>
      </bottom>
    </border>
    <border>
      <bottom style="thin">
        <color rgb="00D0D7DE"/>
      </bottom>
    </border>
    <border>
      <bottom style="thin">
        <color rgb="00D0D0D0"/>
      </bottom>
    </border>
    <border>
      <left/>
      <right/>
      <top/>
      <bottom style="thin">
        <color rgb="00D0D0D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3" borderId="0" pivotButton="0" quotePrefix="0" xfId="0"/>
    <xf numFmtId="0" fontId="3" fillId="3" borderId="1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7" fillId="0" borderId="0" applyAlignment="1" pivotButton="0" quotePrefix="0" xfId="0">
      <alignment wrapText="1"/>
    </xf>
    <xf numFmtId="0" fontId="5" fillId="6" borderId="2" applyAlignment="1" pivotButton="0" quotePrefix="0" xfId="0">
      <alignment horizontal="center" vertical="center" wrapText="1"/>
    </xf>
    <xf numFmtId="165" fontId="7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8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3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9" fillId="3" borderId="0" pivotButton="0" quotePrefix="0" xfId="0"/>
    <xf numFmtId="0" fontId="2" fillId="7" borderId="0" applyAlignment="1" pivotButton="0" quotePrefix="0" xfId="0">
      <alignment vertical="top" wrapText="1"/>
    </xf>
    <xf numFmtId="0" fontId="3" fillId="9" borderId="3" applyAlignment="1" pivotButton="0" quotePrefix="0" xfId="0">
      <alignment horizontal="center" vertical="center" wrapText="1"/>
    </xf>
    <xf numFmtId="0" fontId="2" fillId="7" borderId="0" pivotButton="0" quotePrefix="0" xfId="0"/>
    <xf numFmtId="0" fontId="3" fillId="8" borderId="3" applyAlignment="1" pivotButton="0" quotePrefix="0" xfId="0">
      <alignment horizontal="center" vertical="center" wrapText="1"/>
    </xf>
    <xf numFmtId="3" fontId="0" fillId="0" borderId="0" pivotButton="0" quotePrefix="0" xfId="0"/>
    <xf numFmtId="166" fontId="0" fillId="0" borderId="0" pivotButton="0" quotePrefix="0" xfId="0"/>
    <xf numFmtId="0" fontId="3" fillId="10" borderId="3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4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/>
  </cellStyles>
  <dxfs count="5">
    <dxf>
      <fill>
        <patternFill>
          <bgColor rgb="00E2F0D9"/>
        </patternFill>
      </fill>
    </dxf>
    <dxf>
      <fill>
        <patternFill>
          <bgColor rgb="00FFF2CC"/>
        </patternFill>
      </fill>
    </dxf>
    <dxf>
      <fill>
        <patternFill>
          <bgColor rgb="00FCE4D6"/>
        </patternFill>
      </fill>
    </dxf>
    <dxf>
      <fill>
        <patternFill>
          <bgColor rgb="00FDE9E7"/>
        </patternFill>
      </fill>
    </dxf>
    <dxf>
      <fill>
        <patternFill>
          <bgColor rgb="00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OpenAI</author>
  </authors>
  <commentList>
    <comment ref="A3" authorId="0" shapeId="0">
      <text>
        <t>Counts based on the main Mold Species Database sheet in this workbook.</t>
      </text>
    </comment>
    <comment ref="A4" authorId="0" shapeId="0">
      <text>
        <t>Genus count uses unique genus labels derived from species_name.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5" authorId="0" shapeId="0">
      <text>
        <t>User-editable input. Score 0=None, 1=Very low, 2=Low, 3=Moderate, 4=High, 5=Very high.</t>
      </text>
    </comment>
    <comment ref="D6" authorId="0" shapeId="0">
      <text>
        <t>User-editable input. Score 0=None, 1=Very low, 2=Low, 3=Moderate, 4=High, 5=Very high.</t>
      </text>
    </comment>
    <comment ref="D7" authorId="0" shapeId="0">
      <text>
        <t>User-editable input. Score 0=None, 1=Very low, 2=Low, 3=Moderate, 4=High, 5=Very high.</t>
      </text>
    </comment>
    <comment ref="D8" authorId="0" shapeId="0">
      <text>
        <t>User-editable input. Score 0=None, 1=Very low, 2=Low, 3=Moderate, 4=High, 5=Very high.</t>
      </text>
    </comment>
    <comment ref="D9" authorId="0" shapeId="0">
      <text>
        <t>User-editable input. Score 0=None, 1=Very low, 2=Low, 3=Moderate, 4=High, 5=Very high.</t>
      </text>
    </comment>
    <comment ref="D10" authorId="0" shapeId="0">
      <text>
        <t>User-editable input. Score 0=None, 1=Very low, 2=Low, 3=Moderate, 4=High, 5=Very high.</t>
      </text>
    </comment>
    <comment ref="D11" authorId="0" shapeId="0">
      <text>
        <t>User-editable input. Score 0=None, 1=Very low, 2=Low, 3=Moderate, 4=High, 5=Very high.</t>
      </text>
    </comment>
    <comment ref="D12" authorId="0" shapeId="0">
      <text>
        <t>User-editable input. Score 0=None, 1=Very low, 2=Low, 3=Moderate, 4=High, 5=Very high.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F5" authorId="0" shapeId="0">
      <text>
        <t>Source: /mnt/data/Lab Information.pdf and /mnt/data/21056763_Jaunich_20211020173423.pdf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J6" authorId="0" shapeId="0">
      <text>
        <t>Sources: /mnt/data/21056763_Jaunich_20211020173423.pdf and /mnt/data/Lab Results - 1701206.pdf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T5" authorId="0" shapeId="0">
      <text>
        <t>Sources: /mnt/data/21056763_Jaunich_20211020173423.pdf ; /mnt/data/Lab Information.pdf ; /mnt/data/Lab Results - 1701206.pdf</t>
      </text>
    </comment>
  </commentList>
</comments>
</file>

<file path=xl/tables/table1.xml><?xml version="1.0" encoding="utf-8"?>
<table xmlns="http://schemas.openxmlformats.org/spreadsheetml/2006/main" id="1" name="MoldSpeciesTable" displayName="MoldSpeciesTable" ref="A3:R122" headerRowCount="1">
  <autoFilter ref="A3:R122"/>
  <tableColumns count="18">
    <tableColumn id="1" name="species_name"/>
    <tableColumn id="2" name="genus"/>
    <tableColumn id="3" name="common_category"/>
    <tableColumn id="4" name="primary_color"/>
    <tableColumn id="5" name="secondary_color"/>
    <tableColumn id="6" name="texture"/>
    <tableColumn id="7" name="growth_pattern"/>
    <tableColumn id="8" name="common_materials"/>
    <tableColumn id="9" name="common_locations"/>
    <tableColumn id="10" name="moisture_requirement"/>
    <tableColumn id="11" name="humidity_threshold_percent"/>
    <tableColumn id="12" name="temperature_range_c"/>
    <tableColumn id="13" name="porous_surface_growth"/>
    <tableColumn id="14" name="non_porous_surface_growth"/>
    <tableColumn id="15" name="health_risk_category"/>
    <tableColumn id="16" name="known_myotoxin_producer"/>
    <tableColumn id="17" name="remediation_guidance"/>
    <tableColumn id="18" name="ai_visual_tags"/>
  </tableColumns>
  <tableStyleInfo name="TableStyleMedium2" showRowStripes="1"/>
</table>
</file>

<file path=xl/tables/table2.xml><?xml version="1.0" encoding="utf-8"?>
<table xmlns="http://schemas.openxmlformats.org/spreadsheetml/2006/main" id="2" name="EarlySignsTable" displayName="EarlySignsTable" ref="A1:E13" headerRowCount="1">
  <autoFilter ref="A1:E13"/>
  <tableColumns count="5">
    <tableColumn id="1" name="sign_name"/>
    <tableColumn id="2" name="what_ai_should_flag"/>
    <tableColumn id="3" name="common_surfaces"/>
    <tableColumn id="4" name="confidence_hint"/>
    <tableColumn id="5" name="action_note"/>
  </tableColumns>
  <tableStyleInfo name="TableStyleMedium9" showRowStripes="1"/>
</table>
</file>

<file path=xl/tables/table3.xml><?xml version="1.0" encoding="utf-8"?>
<table xmlns="http://schemas.openxmlformats.org/spreadsheetml/2006/main" id="3" name="CleaningTable" displayName="CleaningTable" ref="A1:E10" headerRowCount="1">
  <autoFilter ref="A1:E10"/>
  <tableColumns count="5">
    <tableColumn id="1" name="agent"/>
    <tableColumn id="2" name="best_for"/>
    <tableColumn id="3" name="surface_type"/>
    <tableColumn id="4" name="avoid_on"/>
    <tableColumn id="5" name="notes"/>
  </tableColumns>
  <tableStyleInfo name="TableStyleMedium4" showRowStripes="1"/>
</table>
</file>

<file path=xl/tables/table4.xml><?xml version="1.0" encoding="utf-8"?>
<table xmlns="http://schemas.openxmlformats.org/spreadsheetml/2006/main" id="4" name="DictionaryTable" displayName="DictionaryTable" ref="A1:C19" headerRowCount="1">
  <autoFilter ref="A1:C19"/>
  <tableColumns count="3">
    <tableColumn id="1" name="field_name"/>
    <tableColumn id="2" name="description"/>
    <tableColumn id="3" name="example"/>
  </tableColumns>
  <tableStyleInfo name="TableStyleMedium6" showRowStripes="1"/>
</table>
</file>

<file path=xl/tables/table5.xml><?xml version="1.0" encoding="utf-8"?>
<table xmlns="http://schemas.openxmlformats.org/spreadsheetml/2006/main" id="5" name="CoreMoldLogicTable" displayName="CoreMoldLogicTable" ref="A4:D14" headerRowCount="1">
  <autoFilter ref="A4:D14"/>
  <tableColumns count="4">
    <tableColumn id="1" name="rule_id"/>
    <tableColumn id="2" name="rule_name"/>
    <tableColumn id="3" name="logic_statement"/>
    <tableColumn id="4" name="why_it_matters"/>
  </tableColumns>
  <tableStyleInfo name="TableStyleMedium7" showRowStripes="1"/>
</table>
</file>

<file path=xl/tables/table6.xml><?xml version="1.0" encoding="utf-8"?>
<table xmlns="http://schemas.openxmlformats.org/spreadsheetml/2006/main" id="6" name="InterpretationExamplesTable" displayName="InterpretationExamplesTable" ref="A1:D5" headerRowCount="1">
  <autoFilter ref="A1:D5"/>
  <tableColumns count="4">
    <tableColumn id="1" name="scenario"/>
    <tableColumn id="2" name="indoor_result"/>
    <tableColumn id="3" name="outdoor_result"/>
    <tableColumn id="4" name="ai_interpretation"/>
  </tableColumns>
  <tableStyleInfo name="TableStyleMedium3" showRowStripes="1"/>
</table>
</file>

<file path=xl/tables/table7.xml><?xml version="1.0" encoding="utf-8"?>
<table xmlns="http://schemas.openxmlformats.org/spreadsheetml/2006/main" id="7" name="AIDecisionTreeTable" displayName="AIDecisionTreeTable" ref="A4:F11" headerRowCount="1">
  <autoFilter ref="A4:F11"/>
  <tableColumns count="6">
    <tableColumn id="1" name="Step"/>
    <tableColumn id="2" name="Decision Question"/>
    <tableColumn id="3" name="If Yes"/>
    <tableColumn id="4" name="If No"/>
    <tableColumn id="5" name="AI Output Class"/>
    <tableColumn id="6" name="Notes"/>
  </tableColumns>
  <tableStyleInfo name="TableStyleMedium2" showRowStripes="1"/>
</table>
</file>

<file path=xl/tables/table8.xml><?xml version="1.0" encoding="utf-8"?>
<table xmlns="http://schemas.openxmlformats.org/spreadsheetml/2006/main" id="8" name="AIOutputMapTable" displayName="AIOutputMapTable" ref="A14:D22" headerRowCount="1">
  <autoFilter ref="A14:D22"/>
  <tableColumns count="4">
    <tableColumn id="1" name="Output Class"/>
    <tableColumn id="2" name="Recommended App Response"/>
    <tableColumn id="3" name="Confidence Direction"/>
    <tableColumn id="4" name="Suggested CTA"/>
  </tableColumns>
  <tableStyleInfo name="TableStyleMedium2" showRowStripes="1"/>
</table>
</file>

<file path=xl/tables/table9.xml><?xml version="1.0" encoding="utf-8"?>
<table xmlns="http://schemas.openxmlformats.org/spreadsheetml/2006/main" id="9" name="InspectionLanguageTable" displayName="InspectionLanguageTable" ref="A4:F14" headerRowCount="1">
  <autoFilter ref="A4:F14"/>
  <tableColumns count="6">
    <tableColumn id="1" name="Situation"/>
    <tableColumn id="2" name="Audience"/>
    <tableColumn id="3" name="Recommended wording"/>
    <tableColumn id="4" name="Avoid wording"/>
    <tableColumn id="5" name="Purpose"/>
    <tableColumn id="6" name="Example app message"/>
  </tableColumns>
  <tableStyleInfo name="TableStyleMedium2" showRowStripes="1"/>
</table>
</file>

<file path=xl/tables/table10.xml><?xml version="1.0" encoding="utf-8"?>
<table xmlns="http://schemas.openxmlformats.org/spreadsheetml/2006/main" id="10" name="MoistureSourceTable" displayName="MoistureSourceTable" ref="A4:H12" headerRowCount="1">
  <autoFilter ref="A4:H12"/>
  <tableColumns count="8">
    <tableColumn id="1" name="Source Type"/>
    <tableColumn id="2" name="Typical Indicators"/>
    <tableColumn id="3" name="Common Rooms"/>
    <tableColumn id="4" name="Visual Clues"/>
    <tableColumn id="5" name="Risk Pattern"/>
    <tableColumn id="6" name="Likely Hidden?"/>
    <tableColumn id="7" name="Suggested AI Output"/>
    <tableColumn id="8" name="Professional Follow-up"/>
  </tableColumns>
  <tableStyleInfo name="TableStyleMedium2" showRowStripes="1"/>
</table>
</file>

<file path=xl/tables/table11.xml><?xml version="1.0" encoding="utf-8"?>
<table xmlns="http://schemas.openxmlformats.org/spreadsheetml/2006/main" id="11" name="RoomInspectionLogicTable" displayName="RoomInspectionLogicTable" ref="A4:I12" headerRowCount="1">
  <autoFilter ref="A4:I12"/>
  <tableColumns count="9">
    <tableColumn id="1" name="Room / Area"/>
    <tableColumn id="2" name="Primary Risk Drivers"/>
    <tableColumn id="3" name="High-Value Checkpoints"/>
    <tableColumn id="4" name="Common False Positives"/>
    <tableColumn id="5" name="Escalation Triggers"/>
    <tableColumn id="6" name="Homeowner Language"/>
    <tableColumn id="7" name="Professional Language"/>
    <tableColumn id="8" name="Suggested Next Step"/>
    <tableColumn id="9" name="Priority"/>
  </tableColumns>
  <tableStyleInfo name="TableStyleMedium2" showRowStripes="1"/>
</table>
</file>

<file path=xl/tables/table12.xml><?xml version="1.0" encoding="utf-8"?>
<table xmlns="http://schemas.openxmlformats.org/spreadsheetml/2006/main" id="12" name="RemediationFrameworkTable" displayName="RemediationFrameworkTable" ref="A4:I10" headerRowCount="1">
  <autoFilter ref="A4:I10"/>
  <tableColumns count="9">
    <tableColumn id="1" name="Scenario"/>
    <tableColumn id="2" name="Visual Severity"/>
    <tableColumn id="3" name="Substrate Type"/>
    <tableColumn id="4" name="Moisture Status"/>
    <tableColumn id="5" name="Recurrence"/>
    <tableColumn id="6" name="Suggested Path"/>
    <tableColumn id="7" name="Homeowner Message"/>
    <tableColumn id="8" name="Professional Message"/>
    <tableColumn id="9" name="Notes / Limits"/>
  </tableColumns>
  <tableStyleInfo name="TableStyleMedium2" showRowStripes="1"/>
</table>
</file>

<file path=xl/tables/table13.xml><?xml version="1.0" encoding="utf-8"?>
<table xmlns="http://schemas.openxmlformats.org/spreadsheetml/2006/main" id="13" name="ImageLabelTaxonomyTable" displayName="ImageLabelTaxonomyTable" ref="A4:J15" headerRowCount="1">
  <autoFilter ref="A4:J15"/>
  <tableColumns count="10">
    <tableColumn id="1" name="Label Group"/>
    <tableColumn id="2" name="Field Name"/>
    <tableColumn id="3" name="Allowed Values / Examples"/>
    <tableColumn id="4" name="Purpose"/>
    <tableColumn id="5" name="Example Annotation"/>
    <tableColumn id="6" name="Data Type"/>
    <tableColumn id="7" name="Input or Derived"/>
    <tableColumn id="8" name="AI Relevance"/>
    <tableColumn id="9" name="Review Note"/>
    <tableColumn id="10" name="Source / Context"/>
  </tableColumns>
  <tableStyleInfo name="TableStyleMedium2" showRowStripes="1"/>
</table>
</file>

<file path=xl/tables/table14.xml><?xml version="1.0" encoding="utf-8"?>
<table xmlns="http://schemas.openxmlformats.org/spreadsheetml/2006/main" id="14" name="TrainingAnnotationTemplateTable" displayName="TrainingAnnotationTemplateTable" ref="A4:L8" headerRowCount="1">
  <autoFilter ref="A4:L8"/>
  <tableColumns count="12">
    <tableColumn id="1" name="image_id"/>
    <tableColumn id="2" name="room_type"/>
    <tableColumn id="3" name="surface_type"/>
    <tableColumn id="4" name="moisture_visible (0/1)"/>
    <tableColumn id="5" name="texture_type"/>
    <tableColumn id="6" name="edge_pattern"/>
    <tableColumn id="7" name="color_profile"/>
    <tableColumn id="8" name="recurring_issue (0/1)"/>
    <tableColumn id="9" name="odor_reported (0/1)"/>
    <tableColumn id="10" name="likely_source"/>
    <tableColumn id="11" name="derived_substrate_flag"/>
    <tableColumn id="12" name="derived_attention_flag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5" customWidth="1" min="4" max="4"/>
    <col width="17" customWidth="1" min="5" max="5"/>
    <col width="17" customWidth="1" min="6" max="6"/>
    <col width="17" customWidth="1" min="7" max="7"/>
    <col width="26" customWidth="1" min="8" max="8"/>
    <col width="26" customWidth="1" min="9" max="9"/>
    <col width="22" customWidth="1" min="10" max="10"/>
    <col width="26" customWidth="1" min="11" max="11"/>
    <col width="21" customWidth="1" min="12" max="12"/>
    <col width="23" customWidth="1" min="13" max="13"/>
    <col width="26" customWidth="1" min="14" max="14"/>
    <col width="22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</cols>
  <sheetData>
    <row r="1" ht="22" customHeight="1">
      <c r="A1" s="24" t="inlineStr">
        <is>
          <t>species_name</t>
        </is>
      </c>
      <c r="B1" s="24" t="inlineStr">
        <is>
          <t>genus</t>
        </is>
      </c>
      <c r="C1" s="24" t="inlineStr">
        <is>
          <t>common_category</t>
        </is>
      </c>
      <c r="D1" s="24" t="inlineStr">
        <is>
          <t>primary_color</t>
        </is>
      </c>
      <c r="E1" s="24" t="inlineStr">
        <is>
          <t>secondary_color</t>
        </is>
      </c>
      <c r="F1" s="24" t="inlineStr">
        <is>
          <t>texture</t>
        </is>
      </c>
      <c r="G1" s="24" t="inlineStr">
        <is>
          <t>growth_pattern</t>
        </is>
      </c>
      <c r="H1" s="24" t="inlineStr">
        <is>
          <t>common_materials</t>
        </is>
      </c>
      <c r="I1" s="24" t="inlineStr">
        <is>
          <t>common_locations</t>
        </is>
      </c>
      <c r="J1" s="24" t="inlineStr">
        <is>
          <t>moisture_requirement</t>
        </is>
      </c>
      <c r="K1" s="24" t="inlineStr">
        <is>
          <t>humidity_threshold_percent</t>
        </is>
      </c>
      <c r="L1" s="24" t="inlineStr">
        <is>
          <t>temperature_range_c</t>
        </is>
      </c>
      <c r="M1" s="24" t="inlineStr">
        <is>
          <t>porous_surface_growth</t>
        </is>
      </c>
      <c r="N1" s="24" t="inlineStr">
        <is>
          <t>non_porous_surface_growth</t>
        </is>
      </c>
      <c r="O1" s="24" t="inlineStr">
        <is>
          <t>health_risk_category</t>
        </is>
      </c>
      <c r="P1" s="24" t="inlineStr">
        <is>
          <t>known_mycotoxin_producer</t>
        </is>
      </c>
      <c r="Q1" s="24" t="inlineStr">
        <is>
          <t>remediation_guidance</t>
        </is>
      </c>
      <c r="R1" s="24" t="inlineStr">
        <is>
          <t>ai_visual_tags</t>
        </is>
      </c>
      <c r="S1" s="24" t="inlineStr">
        <is>
          <t>ai_visual_group</t>
        </is>
      </c>
      <c r="T1" s="24" t="inlineStr">
        <is>
          <t>moisture_indicator_level</t>
        </is>
      </c>
      <c r="U1" s="24" t="inlineStr">
        <is>
          <t>health_risk_type</t>
        </is>
      </c>
      <c r="V1" s="24" t="inlineStr">
        <is>
          <t>growth_start_time</t>
        </is>
      </c>
      <c r="W1" s="24" t="inlineStr">
        <is>
          <t>detection_method</t>
        </is>
      </c>
      <c r="X1" s="24" t="inlineStr">
        <is>
          <t>warning_marker_for_toxic_mold</t>
        </is>
      </c>
      <c r="Y1" s="24" t="inlineStr">
        <is>
          <t>visual_pattern</t>
        </is>
      </c>
      <c r="Z1" s="24" t="inlineStr">
        <is>
          <t>surface_preference</t>
        </is>
      </c>
    </row>
    <row r="2" ht="22" customHeight="1">
      <c r="A2" s="4" t="inlineStr">
        <is>
          <t>Stachybotrys chartarum</t>
        </is>
      </c>
      <c r="B2" s="4" t="inlineStr">
        <is>
          <t>Stachybotrys</t>
        </is>
      </c>
      <c r="C2" s="4" t="inlineStr">
        <is>
          <t>Toxigenic</t>
        </is>
      </c>
      <c r="D2" s="4" t="inlineStr">
        <is>
          <t>dark green</t>
        </is>
      </c>
      <c r="E2" s="4" t="inlineStr">
        <is>
          <t>black</t>
        </is>
      </c>
      <c r="F2" s="4" t="inlineStr">
        <is>
          <t>slimy</t>
        </is>
      </c>
      <c r="G2" s="4" t="inlineStr">
        <is>
          <t>patchy</t>
        </is>
      </c>
      <c r="H2" s="4" t="inlineStr">
        <is>
          <t>drywall, wallpaper, cellulose</t>
        </is>
      </c>
      <c r="I2" s="4" t="inlineStr">
        <is>
          <t>water damaged walls, ceilings</t>
        </is>
      </c>
      <c r="J2" s="4" t="inlineStr">
        <is>
          <t>high</t>
        </is>
      </c>
      <c r="K2" s="4" t="inlineStr">
        <is>
          <t>70+</t>
        </is>
      </c>
      <c r="L2" s="4" t="inlineStr">
        <is>
          <t>20-30</t>
        </is>
      </c>
      <c r="M2" s="4" t="inlineStr">
        <is>
          <t>yes</t>
        </is>
      </c>
      <c r="N2" s="4" t="inlineStr">
        <is>
          <t>rare</t>
        </is>
      </c>
      <c r="O2" s="4" t="inlineStr">
        <is>
          <t>high</t>
        </is>
      </c>
      <c r="P2" s="4" t="inlineStr">
        <is>
          <t>yes</t>
        </is>
      </c>
      <c r="Q2" s="4" t="inlineStr">
        <is>
          <t>remove porous materials; correct moisture</t>
        </is>
      </c>
      <c r="R2" s="4" t="inlineStr">
        <is>
          <t>black_colony, slimy_texture, water_damage</t>
        </is>
      </c>
      <c r="S2" s="4" t="inlineStr">
        <is>
          <t>Sticky water-damage group</t>
        </is>
      </c>
      <c r="T2" s="4" t="inlineStr">
        <is>
          <t>high</t>
        </is>
      </c>
      <c r="U2" s="4" t="inlineStr">
        <is>
          <t>toxic + allergenic</t>
        </is>
      </c>
      <c r="V2" s="4" t="inlineStr">
        <is>
          <t>48-72+ hrs after sustained wetting</t>
        </is>
      </c>
      <c r="W2" s="4" t="inlineStr">
        <is>
          <t>surface/bulk preferred; air may under-represent</t>
        </is>
      </c>
      <c r="X2" s="4" t="inlineStr">
        <is>
          <t>no</t>
        </is>
      </c>
      <c r="Y2" s="4" t="inlineStr">
        <is>
          <t>dark green, black, slimy, patchy</t>
        </is>
      </c>
      <c r="Z2" s="4" t="inlineStr">
        <is>
          <t>porous materials preferred; non-porous growth usually on rare</t>
        </is>
      </c>
    </row>
    <row r="3">
      <c r="A3" s="4" t="inlineStr">
        <is>
          <t>Stachybotrys chlorohalonata</t>
        </is>
      </c>
      <c r="B3" s="4" t="inlineStr">
        <is>
          <t>Stachybotrys</t>
        </is>
      </c>
      <c r="C3" s="4" t="inlineStr">
        <is>
          <t>Toxigenic</t>
        </is>
      </c>
      <c r="D3" s="4" t="inlineStr">
        <is>
          <t>dark green</t>
        </is>
      </c>
      <c r="E3" s="4" t="inlineStr">
        <is>
          <t>black</t>
        </is>
      </c>
      <c r="F3" s="4" t="inlineStr">
        <is>
          <t>slimy</t>
        </is>
      </c>
      <c r="G3" s="4" t="inlineStr">
        <is>
          <t>patchy</t>
        </is>
      </c>
      <c r="H3" s="4" t="inlineStr">
        <is>
          <t>drywall, wallpaper, cellulose</t>
        </is>
      </c>
      <c r="I3" s="4" t="inlineStr">
        <is>
          <t>water damaged walls, ceilings</t>
        </is>
      </c>
      <c r="J3" s="4" t="inlineStr">
        <is>
          <t>high</t>
        </is>
      </c>
      <c r="K3" s="4" t="inlineStr">
        <is>
          <t>70+</t>
        </is>
      </c>
      <c r="L3" s="4" t="inlineStr">
        <is>
          <t>20-30</t>
        </is>
      </c>
      <c r="M3" s="4" t="inlineStr">
        <is>
          <t>yes</t>
        </is>
      </c>
      <c r="N3" s="4" t="inlineStr">
        <is>
          <t>rare</t>
        </is>
      </c>
      <c r="O3" s="4" t="inlineStr">
        <is>
          <t>high</t>
        </is>
      </c>
      <c r="P3" s="4" t="inlineStr">
        <is>
          <t>yes</t>
        </is>
      </c>
      <c r="Q3" s="4" t="inlineStr">
        <is>
          <t>remove porous materials; correct moisture</t>
        </is>
      </c>
      <c r="R3" s="4" t="inlineStr">
        <is>
          <t>black_colony, slimy_texture, water_damage</t>
        </is>
      </c>
      <c r="S3" s="4" t="inlineStr">
        <is>
          <t>Sticky water-damage group</t>
        </is>
      </c>
      <c r="T3" s="4" t="inlineStr">
        <is>
          <t>high</t>
        </is>
      </c>
      <c r="U3" s="4" t="inlineStr">
        <is>
          <t>toxic + allergenic</t>
        </is>
      </c>
      <c r="V3" s="4" t="inlineStr">
        <is>
          <t>48-72+ hrs after sustained wetting</t>
        </is>
      </c>
      <c r="W3" s="4" t="inlineStr">
        <is>
          <t>surface/bulk preferred; air may under-represent</t>
        </is>
      </c>
      <c r="X3" s="4" t="inlineStr">
        <is>
          <t>no</t>
        </is>
      </c>
      <c r="Y3" s="4" t="inlineStr">
        <is>
          <t>dark green, black, slimy, patchy</t>
        </is>
      </c>
      <c r="Z3" s="4" t="inlineStr">
        <is>
          <t>porous materials preferred; non-porous growth usually on rare</t>
        </is>
      </c>
    </row>
    <row r="4" ht="22" customHeight="1">
      <c r="A4" s="4" t="inlineStr">
        <is>
          <t>Aspergillus niger</t>
        </is>
      </c>
      <c r="B4" s="4" t="inlineStr">
        <is>
          <t>Aspergillus</t>
        </is>
      </c>
      <c r="C4" s="4" t="inlineStr">
        <is>
          <t>Allergenic / Opportunistic</t>
        </is>
      </c>
      <c r="D4" s="4" t="inlineStr">
        <is>
          <t>green</t>
        </is>
      </c>
      <c r="E4" s="4" t="inlineStr">
        <is>
          <t>gray</t>
        </is>
      </c>
      <c r="F4" s="4" t="inlineStr">
        <is>
          <t>powdery</t>
        </is>
      </c>
      <c r="G4" s="4" t="inlineStr">
        <is>
          <t>circular</t>
        </is>
      </c>
      <c r="H4" s="4" t="inlineStr">
        <is>
          <t>drywall, insulation, dust</t>
        </is>
      </c>
      <c r="I4" s="4" t="inlineStr">
        <is>
          <t>HVAC, walls, dust reservoirs</t>
        </is>
      </c>
      <c r="J4" s="4" t="inlineStr">
        <is>
          <t>moderate</t>
        </is>
      </c>
      <c r="K4" s="4" t="inlineStr">
        <is>
          <t>60+</t>
        </is>
      </c>
      <c r="L4" s="4" t="inlineStr">
        <is>
          <t>20-37</t>
        </is>
      </c>
      <c r="M4" s="4" t="inlineStr">
        <is>
          <t>yes</t>
        </is>
      </c>
      <c r="N4" s="4" t="inlineStr">
        <is>
          <t>possible via dust</t>
        </is>
      </c>
      <c r="O4" s="4" t="inlineStr">
        <is>
          <t>moderate</t>
        </is>
      </c>
      <c r="P4" s="4" t="inlineStr">
        <is>
          <t>some strains</t>
        </is>
      </c>
      <c r="Q4" s="4" t="inlineStr">
        <is>
          <t>HEPA vacuum + damp wipe if light</t>
        </is>
      </c>
      <c r="R4" s="4" t="inlineStr">
        <is>
          <t>green_powdery, round_colony, dusty_growth</t>
        </is>
      </c>
      <c r="S4" s="4" t="inlineStr">
        <is>
          <t>Aspergillus/Penicillium-like</t>
        </is>
      </c>
      <c r="T4" s="4" t="inlineStr">
        <is>
          <t>low-to-moderate</t>
        </is>
      </c>
      <c r="U4" s="4" t="inlineStr">
        <is>
          <t>allergenic + opportunistic infectious</t>
        </is>
      </c>
      <c r="V4" s="4" t="inlineStr">
        <is>
          <t>24-48 hrs with persistent humidity</t>
        </is>
      </c>
      <c r="W4" s="4" t="inlineStr">
        <is>
          <t>air + surface/bulk</t>
        </is>
      </c>
      <c r="X4" s="4" t="inlineStr">
        <is>
          <t>no</t>
        </is>
      </c>
      <c r="Y4" s="4" t="inlineStr">
        <is>
          <t>green, gray, powdery, circular</t>
        </is>
      </c>
      <c r="Z4" s="4" t="inlineStr">
        <is>
          <t>porous materials preferred; non-porous growth usually on possible via dust</t>
        </is>
      </c>
    </row>
    <row r="5">
      <c r="A5" s="4" t="inlineStr">
        <is>
          <t>Aspergillus fumigatus</t>
        </is>
      </c>
      <c r="B5" s="4" t="inlineStr">
        <is>
          <t>Aspergillus</t>
        </is>
      </c>
      <c r="C5" s="4" t="inlineStr">
        <is>
          <t>Allergenic / Opportunistic</t>
        </is>
      </c>
      <c r="D5" s="4" t="inlineStr">
        <is>
          <t>green</t>
        </is>
      </c>
      <c r="E5" s="4" t="inlineStr">
        <is>
          <t>gray</t>
        </is>
      </c>
      <c r="F5" s="4" t="inlineStr">
        <is>
          <t>powdery</t>
        </is>
      </c>
      <c r="G5" s="4" t="inlineStr">
        <is>
          <t>circular</t>
        </is>
      </c>
      <c r="H5" s="4" t="inlineStr">
        <is>
          <t>drywall, insulation, dust</t>
        </is>
      </c>
      <c r="I5" s="4" t="inlineStr">
        <is>
          <t>HVAC, walls, dust reservoirs</t>
        </is>
      </c>
      <c r="J5" s="4" t="inlineStr">
        <is>
          <t>moderate</t>
        </is>
      </c>
      <c r="K5" s="4" t="inlineStr">
        <is>
          <t>60+</t>
        </is>
      </c>
      <c r="L5" s="4" t="inlineStr">
        <is>
          <t>20-37</t>
        </is>
      </c>
      <c r="M5" s="4" t="inlineStr">
        <is>
          <t>yes</t>
        </is>
      </c>
      <c r="N5" s="4" t="inlineStr">
        <is>
          <t>possible via dust</t>
        </is>
      </c>
      <c r="O5" s="4" t="inlineStr">
        <is>
          <t>moderate</t>
        </is>
      </c>
      <c r="P5" s="4" t="inlineStr">
        <is>
          <t>some strains</t>
        </is>
      </c>
      <c r="Q5" s="4" t="inlineStr">
        <is>
          <t>HEPA vacuum + damp wipe if light</t>
        </is>
      </c>
      <c r="R5" s="4" t="inlineStr">
        <is>
          <t>green_powdery, round_colony, dusty_growth</t>
        </is>
      </c>
      <c r="S5" s="4" t="inlineStr">
        <is>
          <t>Aspergillus/Penicillium-like</t>
        </is>
      </c>
      <c r="T5" s="4" t="inlineStr">
        <is>
          <t>low-to-moderate</t>
        </is>
      </c>
      <c r="U5" s="4" t="inlineStr">
        <is>
          <t>allergenic + opportunistic infectious</t>
        </is>
      </c>
      <c r="V5" s="4" t="inlineStr">
        <is>
          <t>24-48 hrs with persistent humidity</t>
        </is>
      </c>
      <c r="W5" s="4" t="inlineStr">
        <is>
          <t>air + surface/bulk</t>
        </is>
      </c>
      <c r="X5" s="4" t="inlineStr">
        <is>
          <t>no</t>
        </is>
      </c>
      <c r="Y5" s="4" t="inlineStr">
        <is>
          <t>green, gray, powdery, circular</t>
        </is>
      </c>
      <c r="Z5" s="4" t="inlineStr">
        <is>
          <t>porous materials preferred; non-porous growth usually on possible via dust</t>
        </is>
      </c>
    </row>
    <row r="6">
      <c r="A6" s="4" t="inlineStr">
        <is>
          <t>Aspergillus flavus</t>
        </is>
      </c>
      <c r="B6" s="4" t="inlineStr">
        <is>
          <t>Aspergillus</t>
        </is>
      </c>
      <c r="C6" s="4" t="inlineStr">
        <is>
          <t>Allergenic / Opportunistic</t>
        </is>
      </c>
      <c r="D6" s="4" t="inlineStr">
        <is>
          <t>green</t>
        </is>
      </c>
      <c r="E6" s="4" t="inlineStr">
        <is>
          <t>gray</t>
        </is>
      </c>
      <c r="F6" s="4" t="inlineStr">
        <is>
          <t>powdery</t>
        </is>
      </c>
      <c r="G6" s="4" t="inlineStr">
        <is>
          <t>circular</t>
        </is>
      </c>
      <c r="H6" s="4" t="inlineStr">
        <is>
          <t>drywall, insulation, dust</t>
        </is>
      </c>
      <c r="I6" s="4" t="inlineStr">
        <is>
          <t>HVAC, walls, dust reservoirs</t>
        </is>
      </c>
      <c r="J6" s="4" t="inlineStr">
        <is>
          <t>moderate</t>
        </is>
      </c>
      <c r="K6" s="4" t="inlineStr">
        <is>
          <t>60+</t>
        </is>
      </c>
      <c r="L6" s="4" t="inlineStr">
        <is>
          <t>20-37</t>
        </is>
      </c>
      <c r="M6" s="4" t="inlineStr">
        <is>
          <t>yes</t>
        </is>
      </c>
      <c r="N6" s="4" t="inlineStr">
        <is>
          <t>possible via dust</t>
        </is>
      </c>
      <c r="O6" s="4" t="inlineStr">
        <is>
          <t>moderate</t>
        </is>
      </c>
      <c r="P6" s="4" t="inlineStr">
        <is>
          <t>some strains</t>
        </is>
      </c>
      <c r="Q6" s="4" t="inlineStr">
        <is>
          <t>HEPA vacuum + damp wipe if light</t>
        </is>
      </c>
      <c r="R6" s="4" t="inlineStr">
        <is>
          <t>green_powdery, round_colony, dusty_growth</t>
        </is>
      </c>
      <c r="S6" s="4" t="inlineStr">
        <is>
          <t>Aspergillus/Penicillium-like</t>
        </is>
      </c>
      <c r="T6" s="4" t="inlineStr">
        <is>
          <t>low-to-moderate</t>
        </is>
      </c>
      <c r="U6" s="4" t="inlineStr">
        <is>
          <t>allergenic + opportunistic infectious</t>
        </is>
      </c>
      <c r="V6" s="4" t="inlineStr">
        <is>
          <t>24-48 hrs with persistent humidity</t>
        </is>
      </c>
      <c r="W6" s="4" t="inlineStr">
        <is>
          <t>air + surface/bulk</t>
        </is>
      </c>
      <c r="X6" s="4" t="inlineStr">
        <is>
          <t>no</t>
        </is>
      </c>
      <c r="Y6" s="4" t="inlineStr">
        <is>
          <t>green, gray, powdery, circular</t>
        </is>
      </c>
      <c r="Z6" s="4" t="inlineStr">
        <is>
          <t>porous materials preferred; non-porous growth usually on possible via dust</t>
        </is>
      </c>
    </row>
    <row r="7">
      <c r="A7" s="4" t="inlineStr">
        <is>
          <t>Aspergillus versicolor</t>
        </is>
      </c>
      <c r="B7" s="4" t="inlineStr">
        <is>
          <t>Aspergillus</t>
        </is>
      </c>
      <c r="C7" s="4" t="inlineStr">
        <is>
          <t>Allergenic / Opportunistic</t>
        </is>
      </c>
      <c r="D7" s="4" t="inlineStr">
        <is>
          <t>green</t>
        </is>
      </c>
      <c r="E7" s="4" t="inlineStr">
        <is>
          <t>gray</t>
        </is>
      </c>
      <c r="F7" s="4" t="inlineStr">
        <is>
          <t>powdery</t>
        </is>
      </c>
      <c r="G7" s="4" t="inlineStr">
        <is>
          <t>circular</t>
        </is>
      </c>
      <c r="H7" s="4" t="inlineStr">
        <is>
          <t>drywall, insulation, dust</t>
        </is>
      </c>
      <c r="I7" s="4" t="inlineStr">
        <is>
          <t>HVAC, walls, dust reservoirs</t>
        </is>
      </c>
      <c r="J7" s="4" t="inlineStr">
        <is>
          <t>moderate</t>
        </is>
      </c>
      <c r="K7" s="4" t="inlineStr">
        <is>
          <t>60+</t>
        </is>
      </c>
      <c r="L7" s="4" t="inlineStr">
        <is>
          <t>20-37</t>
        </is>
      </c>
      <c r="M7" s="4" t="inlineStr">
        <is>
          <t>yes</t>
        </is>
      </c>
      <c r="N7" s="4" t="inlineStr">
        <is>
          <t>possible via dust</t>
        </is>
      </c>
      <c r="O7" s="4" t="inlineStr">
        <is>
          <t>moderate</t>
        </is>
      </c>
      <c r="P7" s="4" t="inlineStr">
        <is>
          <t>some strains</t>
        </is>
      </c>
      <c r="Q7" s="4" t="inlineStr">
        <is>
          <t>HEPA vacuum + damp wipe if light</t>
        </is>
      </c>
      <c r="R7" s="4" t="inlineStr">
        <is>
          <t>green_powdery, round_colony, dusty_growth</t>
        </is>
      </c>
      <c r="S7" s="4" t="inlineStr">
        <is>
          <t>Aspergillus/Penicillium-like</t>
        </is>
      </c>
      <c r="T7" s="4" t="inlineStr">
        <is>
          <t>low-to-moderate</t>
        </is>
      </c>
      <c r="U7" s="4" t="inlineStr">
        <is>
          <t>allergenic + opportunistic infectious</t>
        </is>
      </c>
      <c r="V7" s="4" t="inlineStr">
        <is>
          <t>24-48 hrs with persistent humidity</t>
        </is>
      </c>
      <c r="W7" s="4" t="inlineStr">
        <is>
          <t>air + surface/bulk</t>
        </is>
      </c>
      <c r="X7" s="4" t="inlineStr">
        <is>
          <t>no</t>
        </is>
      </c>
      <c r="Y7" s="4" t="inlineStr">
        <is>
          <t>green, gray, powdery, circular</t>
        </is>
      </c>
      <c r="Z7" s="4" t="inlineStr">
        <is>
          <t>porous materials preferred; non-porous growth usually on possible via dust</t>
        </is>
      </c>
    </row>
    <row r="8">
      <c r="A8" s="4" t="inlineStr">
        <is>
          <t>Aspergillus terreus</t>
        </is>
      </c>
      <c r="B8" s="4" t="inlineStr">
        <is>
          <t>Aspergillus</t>
        </is>
      </c>
      <c r="C8" s="4" t="inlineStr">
        <is>
          <t>Allergenic / Opportunistic</t>
        </is>
      </c>
      <c r="D8" s="4" t="inlineStr">
        <is>
          <t>green</t>
        </is>
      </c>
      <c r="E8" s="4" t="inlineStr">
        <is>
          <t>gray</t>
        </is>
      </c>
      <c r="F8" s="4" t="inlineStr">
        <is>
          <t>powdery</t>
        </is>
      </c>
      <c r="G8" s="4" t="inlineStr">
        <is>
          <t>circular</t>
        </is>
      </c>
      <c r="H8" s="4" t="inlineStr">
        <is>
          <t>drywall, insulation, dust</t>
        </is>
      </c>
      <c r="I8" s="4" t="inlineStr">
        <is>
          <t>HVAC, walls, dust reservoirs</t>
        </is>
      </c>
      <c r="J8" s="4" t="inlineStr">
        <is>
          <t>moderate</t>
        </is>
      </c>
      <c r="K8" s="4" t="inlineStr">
        <is>
          <t>60+</t>
        </is>
      </c>
      <c r="L8" s="4" t="inlineStr">
        <is>
          <t>20-37</t>
        </is>
      </c>
      <c r="M8" s="4" t="inlineStr">
        <is>
          <t>yes</t>
        </is>
      </c>
      <c r="N8" s="4" t="inlineStr">
        <is>
          <t>possible via dust</t>
        </is>
      </c>
      <c r="O8" s="4" t="inlineStr">
        <is>
          <t>moderate</t>
        </is>
      </c>
      <c r="P8" s="4" t="inlineStr">
        <is>
          <t>some strains</t>
        </is>
      </c>
      <c r="Q8" s="4" t="inlineStr">
        <is>
          <t>HEPA vacuum + damp wipe if light</t>
        </is>
      </c>
      <c r="R8" s="4" t="inlineStr">
        <is>
          <t>green_powdery, round_colony, dusty_growth</t>
        </is>
      </c>
      <c r="S8" s="4" t="inlineStr">
        <is>
          <t>Aspergillus/Penicillium-like</t>
        </is>
      </c>
      <c r="T8" s="4" t="inlineStr">
        <is>
          <t>low-to-moderate</t>
        </is>
      </c>
      <c r="U8" s="4" t="inlineStr">
        <is>
          <t>allergenic + opportunistic infectious</t>
        </is>
      </c>
      <c r="V8" s="4" t="inlineStr">
        <is>
          <t>24-48 hrs with persistent humidity</t>
        </is>
      </c>
      <c r="W8" s="4" t="inlineStr">
        <is>
          <t>air + surface/bulk</t>
        </is>
      </c>
      <c r="X8" s="4" t="inlineStr">
        <is>
          <t>no</t>
        </is>
      </c>
      <c r="Y8" s="4" t="inlineStr">
        <is>
          <t>green, gray, powdery, circular</t>
        </is>
      </c>
      <c r="Z8" s="4" t="inlineStr">
        <is>
          <t>porous materials preferred; non-porous growth usually on possible via dust</t>
        </is>
      </c>
    </row>
    <row r="9">
      <c r="A9" s="4" t="inlineStr">
        <is>
          <t>Aspergillus ochraceus</t>
        </is>
      </c>
      <c r="B9" s="4" t="inlineStr">
        <is>
          <t>Aspergillus</t>
        </is>
      </c>
      <c r="C9" s="4" t="inlineStr">
        <is>
          <t>Allergenic / Opportunistic</t>
        </is>
      </c>
      <c r="D9" s="4" t="inlineStr">
        <is>
          <t>green</t>
        </is>
      </c>
      <c r="E9" s="4" t="inlineStr">
        <is>
          <t>gray</t>
        </is>
      </c>
      <c r="F9" s="4" t="inlineStr">
        <is>
          <t>powdery</t>
        </is>
      </c>
      <c r="G9" s="4" t="inlineStr">
        <is>
          <t>circular</t>
        </is>
      </c>
      <c r="H9" s="4" t="inlineStr">
        <is>
          <t>drywall, insulation, dust</t>
        </is>
      </c>
      <c r="I9" s="4" t="inlineStr">
        <is>
          <t>HVAC, walls, dust reservoirs</t>
        </is>
      </c>
      <c r="J9" s="4" t="inlineStr">
        <is>
          <t>moderate</t>
        </is>
      </c>
      <c r="K9" s="4" t="inlineStr">
        <is>
          <t>60+</t>
        </is>
      </c>
      <c r="L9" s="4" t="inlineStr">
        <is>
          <t>20-37</t>
        </is>
      </c>
      <c r="M9" s="4" t="inlineStr">
        <is>
          <t>yes</t>
        </is>
      </c>
      <c r="N9" s="4" t="inlineStr">
        <is>
          <t>possible via dust</t>
        </is>
      </c>
      <c r="O9" s="4" t="inlineStr">
        <is>
          <t>moderate</t>
        </is>
      </c>
      <c r="P9" s="4" t="inlineStr">
        <is>
          <t>some strains</t>
        </is>
      </c>
      <c r="Q9" s="4" t="inlineStr">
        <is>
          <t>HEPA vacuum + damp wipe if light</t>
        </is>
      </c>
      <c r="R9" s="4" t="inlineStr">
        <is>
          <t>green_powdery, round_colony, dusty_growth</t>
        </is>
      </c>
      <c r="S9" s="4" t="inlineStr">
        <is>
          <t>Aspergillus/Penicillium-like</t>
        </is>
      </c>
      <c r="T9" s="4" t="inlineStr">
        <is>
          <t>low-to-moderate</t>
        </is>
      </c>
      <c r="U9" s="4" t="inlineStr">
        <is>
          <t>allergenic + opportunistic infectious</t>
        </is>
      </c>
      <c r="V9" s="4" t="inlineStr">
        <is>
          <t>24-48 hrs with persistent humidity</t>
        </is>
      </c>
      <c r="W9" s="4" t="inlineStr">
        <is>
          <t>air + surface/bulk</t>
        </is>
      </c>
      <c r="X9" s="4" t="inlineStr">
        <is>
          <t>no</t>
        </is>
      </c>
      <c r="Y9" s="4" t="inlineStr">
        <is>
          <t>green, gray, powdery, circular</t>
        </is>
      </c>
      <c r="Z9" s="4" t="inlineStr">
        <is>
          <t>porous materials preferred; non-porous growth usually on possible via dust</t>
        </is>
      </c>
    </row>
    <row r="10">
      <c r="A10" s="4" t="inlineStr">
        <is>
          <t>Aspergillus sydowii</t>
        </is>
      </c>
      <c r="B10" s="4" t="inlineStr">
        <is>
          <t>Aspergillus</t>
        </is>
      </c>
      <c r="C10" s="4" t="inlineStr">
        <is>
          <t>Allergenic / Opportunistic</t>
        </is>
      </c>
      <c r="D10" s="4" t="inlineStr">
        <is>
          <t>green</t>
        </is>
      </c>
      <c r="E10" s="4" t="inlineStr">
        <is>
          <t>gray</t>
        </is>
      </c>
      <c r="F10" s="4" t="inlineStr">
        <is>
          <t>powdery</t>
        </is>
      </c>
      <c r="G10" s="4" t="inlineStr">
        <is>
          <t>circular</t>
        </is>
      </c>
      <c r="H10" s="4" t="inlineStr">
        <is>
          <t>drywall, insulation, dust</t>
        </is>
      </c>
      <c r="I10" s="4" t="inlineStr">
        <is>
          <t>HVAC, walls, dust reservoirs</t>
        </is>
      </c>
      <c r="J10" s="4" t="inlineStr">
        <is>
          <t>moderate</t>
        </is>
      </c>
      <c r="K10" s="4" t="inlineStr">
        <is>
          <t>60+</t>
        </is>
      </c>
      <c r="L10" s="4" t="inlineStr">
        <is>
          <t>20-37</t>
        </is>
      </c>
      <c r="M10" s="4" t="inlineStr">
        <is>
          <t>yes</t>
        </is>
      </c>
      <c r="N10" s="4" t="inlineStr">
        <is>
          <t>possible via dust</t>
        </is>
      </c>
      <c r="O10" s="4" t="inlineStr">
        <is>
          <t>moderate</t>
        </is>
      </c>
      <c r="P10" s="4" t="inlineStr">
        <is>
          <t>some strains</t>
        </is>
      </c>
      <c r="Q10" s="4" t="inlineStr">
        <is>
          <t>HEPA vacuum + damp wipe if light</t>
        </is>
      </c>
      <c r="R10" s="4" t="inlineStr">
        <is>
          <t>green_powdery, round_colony, dusty_growth</t>
        </is>
      </c>
      <c r="S10" s="4" t="inlineStr">
        <is>
          <t>Aspergillus/Penicillium-like</t>
        </is>
      </c>
      <c r="T10" s="4" t="inlineStr">
        <is>
          <t>low-to-moderate</t>
        </is>
      </c>
      <c r="U10" s="4" t="inlineStr">
        <is>
          <t>allergenic + opportunistic infectious</t>
        </is>
      </c>
      <c r="V10" s="4" t="inlineStr">
        <is>
          <t>24-48 hrs with persistent humidity</t>
        </is>
      </c>
      <c r="W10" s="4" t="inlineStr">
        <is>
          <t>air + surface/bulk</t>
        </is>
      </c>
      <c r="X10" s="4" t="inlineStr">
        <is>
          <t>no</t>
        </is>
      </c>
      <c r="Y10" s="4" t="inlineStr">
        <is>
          <t>green, gray, powdery, circular</t>
        </is>
      </c>
      <c r="Z10" s="4" t="inlineStr">
        <is>
          <t>porous materials preferred; non-porous growth usually on possible via dust</t>
        </is>
      </c>
    </row>
    <row r="11">
      <c r="A11" s="4" t="inlineStr">
        <is>
          <t>Aspergillus glaucus</t>
        </is>
      </c>
      <c r="B11" s="4" t="inlineStr">
        <is>
          <t>Aspergillus</t>
        </is>
      </c>
      <c r="C11" s="4" t="inlineStr">
        <is>
          <t>Allergenic / Opportunistic</t>
        </is>
      </c>
      <c r="D11" s="4" t="inlineStr">
        <is>
          <t>green</t>
        </is>
      </c>
      <c r="E11" s="4" t="inlineStr">
        <is>
          <t>gray</t>
        </is>
      </c>
      <c r="F11" s="4" t="inlineStr">
        <is>
          <t>powdery</t>
        </is>
      </c>
      <c r="G11" s="4" t="inlineStr">
        <is>
          <t>circular</t>
        </is>
      </c>
      <c r="H11" s="4" t="inlineStr">
        <is>
          <t>drywall, insulation, dust</t>
        </is>
      </c>
      <c r="I11" s="4" t="inlineStr">
        <is>
          <t>HVAC, walls, dust reservoirs</t>
        </is>
      </c>
      <c r="J11" s="4" t="inlineStr">
        <is>
          <t>moderate</t>
        </is>
      </c>
      <c r="K11" s="4" t="inlineStr">
        <is>
          <t>60+</t>
        </is>
      </c>
      <c r="L11" s="4" t="inlineStr">
        <is>
          <t>20-37</t>
        </is>
      </c>
      <c r="M11" s="4" t="inlineStr">
        <is>
          <t>yes</t>
        </is>
      </c>
      <c r="N11" s="4" t="inlineStr">
        <is>
          <t>possible via dust</t>
        </is>
      </c>
      <c r="O11" s="4" t="inlineStr">
        <is>
          <t>moderate</t>
        </is>
      </c>
      <c r="P11" s="4" t="inlineStr">
        <is>
          <t>some strains</t>
        </is>
      </c>
      <c r="Q11" s="4" t="inlineStr">
        <is>
          <t>HEPA vacuum + damp wipe if light</t>
        </is>
      </c>
      <c r="R11" s="4" t="inlineStr">
        <is>
          <t>green_powdery, round_colony, dusty_growth</t>
        </is>
      </c>
      <c r="S11" s="4" t="inlineStr">
        <is>
          <t>Aspergillus/Penicillium-like</t>
        </is>
      </c>
      <c r="T11" s="4" t="inlineStr">
        <is>
          <t>low-to-moderate</t>
        </is>
      </c>
      <c r="U11" s="4" t="inlineStr">
        <is>
          <t>allergenic + opportunistic infectious</t>
        </is>
      </c>
      <c r="V11" s="4" t="inlineStr">
        <is>
          <t>24-48 hrs with persistent humidity</t>
        </is>
      </c>
      <c r="W11" s="4" t="inlineStr">
        <is>
          <t>air + surface/bulk</t>
        </is>
      </c>
      <c r="X11" s="4" t="inlineStr">
        <is>
          <t>no</t>
        </is>
      </c>
      <c r="Y11" s="4" t="inlineStr">
        <is>
          <t>green, gray, powdery, circular</t>
        </is>
      </c>
      <c r="Z11" s="4" t="inlineStr">
        <is>
          <t>porous materials preferred; non-porous growth usually on possible via dust</t>
        </is>
      </c>
    </row>
    <row r="12">
      <c r="A12" s="4" t="inlineStr">
        <is>
          <t>Aspergillus candidus</t>
        </is>
      </c>
      <c r="B12" s="4" t="inlineStr">
        <is>
          <t>Aspergillus</t>
        </is>
      </c>
      <c r="C12" s="4" t="inlineStr">
        <is>
          <t>Allergenic / Opportunistic</t>
        </is>
      </c>
      <c r="D12" s="4" t="inlineStr">
        <is>
          <t>green</t>
        </is>
      </c>
      <c r="E12" s="4" t="inlineStr">
        <is>
          <t>gray</t>
        </is>
      </c>
      <c r="F12" s="4" t="inlineStr">
        <is>
          <t>powdery</t>
        </is>
      </c>
      <c r="G12" s="4" t="inlineStr">
        <is>
          <t>circular</t>
        </is>
      </c>
      <c r="H12" s="4" t="inlineStr">
        <is>
          <t>drywall, insulation, dust</t>
        </is>
      </c>
      <c r="I12" s="4" t="inlineStr">
        <is>
          <t>HVAC, walls, dust reservoirs</t>
        </is>
      </c>
      <c r="J12" s="4" t="inlineStr">
        <is>
          <t>moderate</t>
        </is>
      </c>
      <c r="K12" s="4" t="inlineStr">
        <is>
          <t>60+</t>
        </is>
      </c>
      <c r="L12" s="4" t="inlineStr">
        <is>
          <t>20-37</t>
        </is>
      </c>
      <c r="M12" s="4" t="inlineStr">
        <is>
          <t>yes</t>
        </is>
      </c>
      <c r="N12" s="4" t="inlineStr">
        <is>
          <t>possible via dust</t>
        </is>
      </c>
      <c r="O12" s="4" t="inlineStr">
        <is>
          <t>moderate</t>
        </is>
      </c>
      <c r="P12" s="4" t="inlineStr">
        <is>
          <t>some strains</t>
        </is>
      </c>
      <c r="Q12" s="4" t="inlineStr">
        <is>
          <t>HEPA vacuum + damp wipe if light</t>
        </is>
      </c>
      <c r="R12" s="4" t="inlineStr">
        <is>
          <t>green_powdery, round_colony, dusty_growth</t>
        </is>
      </c>
      <c r="S12" s="4" t="inlineStr">
        <is>
          <t>Aspergillus/Penicillium-like</t>
        </is>
      </c>
      <c r="T12" s="4" t="inlineStr">
        <is>
          <t>low-to-moderate</t>
        </is>
      </c>
      <c r="U12" s="4" t="inlineStr">
        <is>
          <t>allergenic + opportunistic infectious</t>
        </is>
      </c>
      <c r="V12" s="4" t="inlineStr">
        <is>
          <t>24-48 hrs with persistent humidity</t>
        </is>
      </c>
      <c r="W12" s="4" t="inlineStr">
        <is>
          <t>air + surface/bulk</t>
        </is>
      </c>
      <c r="X12" s="4" t="inlineStr">
        <is>
          <t>no</t>
        </is>
      </c>
      <c r="Y12" s="4" t="inlineStr">
        <is>
          <t>green, gray, powdery, circular</t>
        </is>
      </c>
      <c r="Z12" s="4" t="inlineStr">
        <is>
          <t>porous materials preferred; non-porous growth usually on possible via dust</t>
        </is>
      </c>
    </row>
    <row r="13">
      <c r="A13" s="4" t="inlineStr">
        <is>
          <t>Aspergillus restrictus</t>
        </is>
      </c>
      <c r="B13" s="4" t="inlineStr">
        <is>
          <t>Aspergillus</t>
        </is>
      </c>
      <c r="C13" s="4" t="inlineStr">
        <is>
          <t>Allergenic / Opportunistic</t>
        </is>
      </c>
      <c r="D13" s="4" t="inlineStr">
        <is>
          <t>green</t>
        </is>
      </c>
      <c r="E13" s="4" t="inlineStr">
        <is>
          <t>gray</t>
        </is>
      </c>
      <c r="F13" s="4" t="inlineStr">
        <is>
          <t>powdery</t>
        </is>
      </c>
      <c r="G13" s="4" t="inlineStr">
        <is>
          <t>circular</t>
        </is>
      </c>
      <c r="H13" s="4" t="inlineStr">
        <is>
          <t>drywall, insulation, dust</t>
        </is>
      </c>
      <c r="I13" s="4" t="inlineStr">
        <is>
          <t>HVAC, walls, dust reservoirs</t>
        </is>
      </c>
      <c r="J13" s="4" t="inlineStr">
        <is>
          <t>moderate</t>
        </is>
      </c>
      <c r="K13" s="4" t="inlineStr">
        <is>
          <t>60+</t>
        </is>
      </c>
      <c r="L13" s="4" t="inlineStr">
        <is>
          <t>20-37</t>
        </is>
      </c>
      <c r="M13" s="4" t="inlineStr">
        <is>
          <t>yes</t>
        </is>
      </c>
      <c r="N13" s="4" t="inlineStr">
        <is>
          <t>possible via dust</t>
        </is>
      </c>
      <c r="O13" s="4" t="inlineStr">
        <is>
          <t>moderate</t>
        </is>
      </c>
      <c r="P13" s="4" t="inlineStr">
        <is>
          <t>some strains</t>
        </is>
      </c>
      <c r="Q13" s="4" t="inlineStr">
        <is>
          <t>HEPA vacuum + damp wipe if light</t>
        </is>
      </c>
      <c r="R13" s="4" t="inlineStr">
        <is>
          <t>green_powdery, round_colony, dusty_growth</t>
        </is>
      </c>
      <c r="S13" s="4" t="inlineStr">
        <is>
          <t>Aspergillus/Penicillium-like</t>
        </is>
      </c>
      <c r="T13" s="4" t="inlineStr">
        <is>
          <t>low-to-moderate</t>
        </is>
      </c>
      <c r="U13" s="4" t="inlineStr">
        <is>
          <t>allergenic + opportunistic infectious</t>
        </is>
      </c>
      <c r="V13" s="4" t="inlineStr">
        <is>
          <t>24-48 hrs with persistent humidity</t>
        </is>
      </c>
      <c r="W13" s="4" t="inlineStr">
        <is>
          <t>air + surface/bulk</t>
        </is>
      </c>
      <c r="X13" s="4" t="inlineStr">
        <is>
          <t>no</t>
        </is>
      </c>
      <c r="Y13" s="4" t="inlineStr">
        <is>
          <t>green, gray, powdery, circular</t>
        </is>
      </c>
      <c r="Z13" s="4" t="inlineStr">
        <is>
          <t>porous materials preferred; non-porous growth usually on possible via dust</t>
        </is>
      </c>
    </row>
    <row r="14">
      <c r="A14" s="4" t="inlineStr">
        <is>
          <t>Penicillium chrysogenum</t>
        </is>
      </c>
      <c r="B14" s="4" t="inlineStr">
        <is>
          <t>Penicillium</t>
        </is>
      </c>
      <c r="C14" s="4" t="inlineStr">
        <is>
          <t>Common indoor</t>
        </is>
      </c>
      <c r="D14" s="4" t="inlineStr">
        <is>
          <t>blue green</t>
        </is>
      </c>
      <c r="E14" s="4" t="inlineStr">
        <is>
          <t>white</t>
        </is>
      </c>
      <c r="F14" s="4" t="inlineStr">
        <is>
          <t>velvety</t>
        </is>
      </c>
      <c r="G14" s="4" t="inlineStr">
        <is>
          <t>spreading</t>
        </is>
      </c>
      <c r="H14" s="4" t="inlineStr">
        <is>
          <t>carpet, wallpaper, drywall</t>
        </is>
      </c>
      <c r="I14" s="4" t="inlineStr">
        <is>
          <t>basements, walls, stored materials</t>
        </is>
      </c>
      <c r="J14" s="4" t="inlineStr">
        <is>
          <t>moderate</t>
        </is>
      </c>
      <c r="K14" s="4" t="inlineStr">
        <is>
          <t>60+</t>
        </is>
      </c>
      <c r="L14" s="4" t="inlineStr">
        <is>
          <t>15-30</t>
        </is>
      </c>
      <c r="M14" s="4" t="inlineStr">
        <is>
          <t>yes</t>
        </is>
      </c>
      <c r="N14" s="4" t="inlineStr">
        <is>
          <t>possible via dust</t>
        </is>
      </c>
      <c r="O14" s="4" t="inlineStr">
        <is>
          <t>moderate</t>
        </is>
      </c>
      <c r="P14" s="4" t="inlineStr">
        <is>
          <t>some strains</t>
        </is>
      </c>
      <c r="Q14" s="4" t="inlineStr">
        <is>
          <t>dry area; remove damaged porous material if extensive</t>
        </is>
      </c>
      <c r="R14" s="4" t="inlineStr">
        <is>
          <t>blue_green_velvet, diffuse_edges</t>
        </is>
      </c>
      <c r="S14" s="4" t="inlineStr">
        <is>
          <t>Aspergillus/Penicillium-like</t>
        </is>
      </c>
      <c r="T14" s="4" t="inlineStr">
        <is>
          <t>low-to-moderate</t>
        </is>
      </c>
      <c r="U14" s="4" t="inlineStr">
        <is>
          <t>allergenic + opportunistic infectious</t>
        </is>
      </c>
      <c r="V14" s="4" t="inlineStr">
        <is>
          <t>24-48 hrs with persistent humidity</t>
        </is>
      </c>
      <c r="W14" s="4" t="inlineStr">
        <is>
          <t>air + surface/bulk</t>
        </is>
      </c>
      <c r="X14" s="4" t="inlineStr">
        <is>
          <t>no</t>
        </is>
      </c>
      <c r="Y14" s="4" t="inlineStr">
        <is>
          <t>blue green, white, velvety, spreading</t>
        </is>
      </c>
      <c r="Z14" s="4" t="inlineStr">
        <is>
          <t>porous materials preferred; non-porous growth usually on possible via dust</t>
        </is>
      </c>
    </row>
    <row r="15">
      <c r="A15" s="4" t="inlineStr">
        <is>
          <t>Penicillium expansum</t>
        </is>
      </c>
      <c r="B15" s="4" t="inlineStr">
        <is>
          <t>Penicillium</t>
        </is>
      </c>
      <c r="C15" s="4" t="inlineStr">
        <is>
          <t>Common indoor</t>
        </is>
      </c>
      <c r="D15" s="4" t="inlineStr">
        <is>
          <t>blue green</t>
        </is>
      </c>
      <c r="E15" s="4" t="inlineStr">
        <is>
          <t>white</t>
        </is>
      </c>
      <c r="F15" s="4" t="inlineStr">
        <is>
          <t>velvety</t>
        </is>
      </c>
      <c r="G15" s="4" t="inlineStr">
        <is>
          <t>spreading</t>
        </is>
      </c>
      <c r="H15" s="4" t="inlineStr">
        <is>
          <t>carpet, wallpaper, drywall</t>
        </is>
      </c>
      <c r="I15" s="4" t="inlineStr">
        <is>
          <t>basements, walls, stored materials</t>
        </is>
      </c>
      <c r="J15" s="4" t="inlineStr">
        <is>
          <t>moderate</t>
        </is>
      </c>
      <c r="K15" s="4" t="inlineStr">
        <is>
          <t>60+</t>
        </is>
      </c>
      <c r="L15" s="4" t="inlineStr">
        <is>
          <t>15-30</t>
        </is>
      </c>
      <c r="M15" s="4" t="inlineStr">
        <is>
          <t>yes</t>
        </is>
      </c>
      <c r="N15" s="4" t="inlineStr">
        <is>
          <t>possible via dust</t>
        </is>
      </c>
      <c r="O15" s="4" t="inlineStr">
        <is>
          <t>moderate</t>
        </is>
      </c>
      <c r="P15" s="4" t="inlineStr">
        <is>
          <t>some strains</t>
        </is>
      </c>
      <c r="Q15" s="4" t="inlineStr">
        <is>
          <t>dry area; remove damaged porous material if extensive</t>
        </is>
      </c>
      <c r="R15" s="4" t="inlineStr">
        <is>
          <t>blue_green_velvet, diffuse_edges</t>
        </is>
      </c>
      <c r="S15" s="4" t="inlineStr">
        <is>
          <t>Aspergillus/Penicillium-like</t>
        </is>
      </c>
      <c r="T15" s="4" t="inlineStr">
        <is>
          <t>low-to-moderate</t>
        </is>
      </c>
      <c r="U15" s="4" t="inlineStr">
        <is>
          <t>allergenic + opportunistic infectious</t>
        </is>
      </c>
      <c r="V15" s="4" t="inlineStr">
        <is>
          <t>24-48 hrs with persistent humidity</t>
        </is>
      </c>
      <c r="W15" s="4" t="inlineStr">
        <is>
          <t>air + surface/bulk</t>
        </is>
      </c>
      <c r="X15" s="4" t="inlineStr">
        <is>
          <t>no</t>
        </is>
      </c>
      <c r="Y15" s="4" t="inlineStr">
        <is>
          <t>blue green, white, velvety, spreading</t>
        </is>
      </c>
      <c r="Z15" s="4" t="inlineStr">
        <is>
          <t>porous materials preferred; non-porous growth usually on possible via dust</t>
        </is>
      </c>
    </row>
    <row r="16">
      <c r="A16" s="4" t="inlineStr">
        <is>
          <t>Penicillium citrinum</t>
        </is>
      </c>
      <c r="B16" s="4" t="inlineStr">
        <is>
          <t>Penicillium</t>
        </is>
      </c>
      <c r="C16" s="4" t="inlineStr">
        <is>
          <t>Common indoor</t>
        </is>
      </c>
      <c r="D16" s="4" t="inlineStr">
        <is>
          <t>blue green</t>
        </is>
      </c>
      <c r="E16" s="4" t="inlineStr">
        <is>
          <t>white</t>
        </is>
      </c>
      <c r="F16" s="4" t="inlineStr">
        <is>
          <t>velvety</t>
        </is>
      </c>
      <c r="G16" s="4" t="inlineStr">
        <is>
          <t>spreading</t>
        </is>
      </c>
      <c r="H16" s="4" t="inlineStr">
        <is>
          <t>carpet, wallpaper, drywall</t>
        </is>
      </c>
      <c r="I16" s="4" t="inlineStr">
        <is>
          <t>basements, walls, stored materials</t>
        </is>
      </c>
      <c r="J16" s="4" t="inlineStr">
        <is>
          <t>moderate</t>
        </is>
      </c>
      <c r="K16" s="4" t="inlineStr">
        <is>
          <t>60+</t>
        </is>
      </c>
      <c r="L16" s="4" t="inlineStr">
        <is>
          <t>15-30</t>
        </is>
      </c>
      <c r="M16" s="4" t="inlineStr">
        <is>
          <t>yes</t>
        </is>
      </c>
      <c r="N16" s="4" t="inlineStr">
        <is>
          <t>possible via dust</t>
        </is>
      </c>
      <c r="O16" s="4" t="inlineStr">
        <is>
          <t>moderate</t>
        </is>
      </c>
      <c r="P16" s="4" t="inlineStr">
        <is>
          <t>some strains</t>
        </is>
      </c>
      <c r="Q16" s="4" t="inlineStr">
        <is>
          <t>dry area; remove damaged porous material if extensive</t>
        </is>
      </c>
      <c r="R16" s="4" t="inlineStr">
        <is>
          <t>blue_green_velvet, diffuse_edges</t>
        </is>
      </c>
      <c r="S16" s="4" t="inlineStr">
        <is>
          <t>Aspergillus/Penicillium-like</t>
        </is>
      </c>
      <c r="T16" s="4" t="inlineStr">
        <is>
          <t>low-to-moderate</t>
        </is>
      </c>
      <c r="U16" s="4" t="inlineStr">
        <is>
          <t>allergenic + opportunistic infectious</t>
        </is>
      </c>
      <c r="V16" s="4" t="inlineStr">
        <is>
          <t>24-48 hrs with persistent humidity</t>
        </is>
      </c>
      <c r="W16" s="4" t="inlineStr">
        <is>
          <t>air + surface/bulk</t>
        </is>
      </c>
      <c r="X16" s="4" t="inlineStr">
        <is>
          <t>no</t>
        </is>
      </c>
      <c r="Y16" s="4" t="inlineStr">
        <is>
          <t>blue green, white, velvety, spreading</t>
        </is>
      </c>
      <c r="Z16" s="4" t="inlineStr">
        <is>
          <t>porous materials preferred; non-porous growth usually on possible via dust</t>
        </is>
      </c>
    </row>
    <row r="17">
      <c r="A17" s="4" t="inlineStr">
        <is>
          <t>Penicillium brevicompactum</t>
        </is>
      </c>
      <c r="B17" s="4" t="inlineStr">
        <is>
          <t>Penicillium</t>
        </is>
      </c>
      <c r="C17" s="4" t="inlineStr">
        <is>
          <t>Common indoor</t>
        </is>
      </c>
      <c r="D17" s="4" t="inlineStr">
        <is>
          <t>blue green</t>
        </is>
      </c>
      <c r="E17" s="4" t="inlineStr">
        <is>
          <t>white</t>
        </is>
      </c>
      <c r="F17" s="4" t="inlineStr">
        <is>
          <t>velvety</t>
        </is>
      </c>
      <c r="G17" s="4" t="inlineStr">
        <is>
          <t>spreading</t>
        </is>
      </c>
      <c r="H17" s="4" t="inlineStr">
        <is>
          <t>carpet, wallpaper, drywall</t>
        </is>
      </c>
      <c r="I17" s="4" t="inlineStr">
        <is>
          <t>basements, walls, stored materials</t>
        </is>
      </c>
      <c r="J17" s="4" t="inlineStr">
        <is>
          <t>moderate</t>
        </is>
      </c>
      <c r="K17" s="4" t="inlineStr">
        <is>
          <t>60+</t>
        </is>
      </c>
      <c r="L17" s="4" t="inlineStr">
        <is>
          <t>15-30</t>
        </is>
      </c>
      <c r="M17" s="4" t="inlineStr">
        <is>
          <t>yes</t>
        </is>
      </c>
      <c r="N17" s="4" t="inlineStr">
        <is>
          <t>possible via dust</t>
        </is>
      </c>
      <c r="O17" s="4" t="inlineStr">
        <is>
          <t>moderate</t>
        </is>
      </c>
      <c r="P17" s="4" t="inlineStr">
        <is>
          <t>some strains</t>
        </is>
      </c>
      <c r="Q17" s="4" t="inlineStr">
        <is>
          <t>dry area; remove damaged porous material if extensive</t>
        </is>
      </c>
      <c r="R17" s="4" t="inlineStr">
        <is>
          <t>blue_green_velvet, diffuse_edges</t>
        </is>
      </c>
      <c r="S17" s="4" t="inlineStr">
        <is>
          <t>Aspergillus/Penicillium-like</t>
        </is>
      </c>
      <c r="T17" s="4" t="inlineStr">
        <is>
          <t>low-to-moderate</t>
        </is>
      </c>
      <c r="U17" s="4" t="inlineStr">
        <is>
          <t>allergenic + opportunistic infectious</t>
        </is>
      </c>
      <c r="V17" s="4" t="inlineStr">
        <is>
          <t>24-48 hrs with persistent humidity</t>
        </is>
      </c>
      <c r="W17" s="4" t="inlineStr">
        <is>
          <t>air + surface/bulk</t>
        </is>
      </c>
      <c r="X17" s="4" t="inlineStr">
        <is>
          <t>no</t>
        </is>
      </c>
      <c r="Y17" s="4" t="inlineStr">
        <is>
          <t>blue green, white, velvety, spreading</t>
        </is>
      </c>
      <c r="Z17" s="4" t="inlineStr">
        <is>
          <t>porous materials preferred; non-porous growth usually on possible via dust</t>
        </is>
      </c>
    </row>
    <row r="18">
      <c r="A18" s="4" t="inlineStr">
        <is>
          <t>Penicillium commune</t>
        </is>
      </c>
      <c r="B18" s="4" t="inlineStr">
        <is>
          <t>Penicillium</t>
        </is>
      </c>
      <c r="C18" s="4" t="inlineStr">
        <is>
          <t>Common indoor</t>
        </is>
      </c>
      <c r="D18" s="4" t="inlineStr">
        <is>
          <t>blue green</t>
        </is>
      </c>
      <c r="E18" s="4" t="inlineStr">
        <is>
          <t>white</t>
        </is>
      </c>
      <c r="F18" s="4" t="inlineStr">
        <is>
          <t>velvety</t>
        </is>
      </c>
      <c r="G18" s="4" t="inlineStr">
        <is>
          <t>spreading</t>
        </is>
      </c>
      <c r="H18" s="4" t="inlineStr">
        <is>
          <t>carpet, wallpaper, drywall</t>
        </is>
      </c>
      <c r="I18" s="4" t="inlineStr">
        <is>
          <t>basements, walls, stored materials</t>
        </is>
      </c>
      <c r="J18" s="4" t="inlineStr">
        <is>
          <t>moderate</t>
        </is>
      </c>
      <c r="K18" s="4" t="inlineStr">
        <is>
          <t>60+</t>
        </is>
      </c>
      <c r="L18" s="4" t="inlineStr">
        <is>
          <t>15-30</t>
        </is>
      </c>
      <c r="M18" s="4" t="inlineStr">
        <is>
          <t>yes</t>
        </is>
      </c>
      <c r="N18" s="4" t="inlineStr">
        <is>
          <t>possible via dust</t>
        </is>
      </c>
      <c r="O18" s="4" t="inlineStr">
        <is>
          <t>moderate</t>
        </is>
      </c>
      <c r="P18" s="4" t="inlineStr">
        <is>
          <t>some strains</t>
        </is>
      </c>
      <c r="Q18" s="4" t="inlineStr">
        <is>
          <t>dry area; remove damaged porous material if extensive</t>
        </is>
      </c>
      <c r="R18" s="4" t="inlineStr">
        <is>
          <t>blue_green_velvet, diffuse_edges</t>
        </is>
      </c>
      <c r="S18" s="4" t="inlineStr">
        <is>
          <t>Aspergillus/Penicillium-like</t>
        </is>
      </c>
      <c r="T18" s="4" t="inlineStr">
        <is>
          <t>low-to-moderate</t>
        </is>
      </c>
      <c r="U18" s="4" t="inlineStr">
        <is>
          <t>allergenic + opportunistic infectious</t>
        </is>
      </c>
      <c r="V18" s="4" t="inlineStr">
        <is>
          <t>24-48 hrs with persistent humidity</t>
        </is>
      </c>
      <c r="W18" s="4" t="inlineStr">
        <is>
          <t>air + surface/bulk</t>
        </is>
      </c>
      <c r="X18" s="4" t="inlineStr">
        <is>
          <t>no</t>
        </is>
      </c>
      <c r="Y18" s="4" t="inlineStr">
        <is>
          <t>blue green, white, velvety, spreading</t>
        </is>
      </c>
      <c r="Z18" s="4" t="inlineStr">
        <is>
          <t>porous materials preferred; non-porous growth usually on possible via dust</t>
        </is>
      </c>
    </row>
    <row r="19">
      <c r="A19" s="4" t="inlineStr">
        <is>
          <t>Penicillium crustosum</t>
        </is>
      </c>
      <c r="B19" s="4" t="inlineStr">
        <is>
          <t>Penicillium</t>
        </is>
      </c>
      <c r="C19" s="4" t="inlineStr">
        <is>
          <t>Common indoor</t>
        </is>
      </c>
      <c r="D19" s="4" t="inlineStr">
        <is>
          <t>blue green</t>
        </is>
      </c>
      <c r="E19" s="4" t="inlineStr">
        <is>
          <t>white</t>
        </is>
      </c>
      <c r="F19" s="4" t="inlineStr">
        <is>
          <t>velvety</t>
        </is>
      </c>
      <c r="G19" s="4" t="inlineStr">
        <is>
          <t>spreading</t>
        </is>
      </c>
      <c r="H19" s="4" t="inlineStr">
        <is>
          <t>carpet, wallpaper, drywall</t>
        </is>
      </c>
      <c r="I19" s="4" t="inlineStr">
        <is>
          <t>basements, walls, stored materials</t>
        </is>
      </c>
      <c r="J19" s="4" t="inlineStr">
        <is>
          <t>moderate</t>
        </is>
      </c>
      <c r="K19" s="4" t="inlineStr">
        <is>
          <t>60+</t>
        </is>
      </c>
      <c r="L19" s="4" t="inlineStr">
        <is>
          <t>15-30</t>
        </is>
      </c>
      <c r="M19" s="4" t="inlineStr">
        <is>
          <t>yes</t>
        </is>
      </c>
      <c r="N19" s="4" t="inlineStr">
        <is>
          <t>possible via dust</t>
        </is>
      </c>
      <c r="O19" s="4" t="inlineStr">
        <is>
          <t>moderate</t>
        </is>
      </c>
      <c r="P19" s="4" t="inlineStr">
        <is>
          <t>some strains</t>
        </is>
      </c>
      <c r="Q19" s="4" t="inlineStr">
        <is>
          <t>dry area; remove damaged porous material if extensive</t>
        </is>
      </c>
      <c r="R19" s="4" t="inlineStr">
        <is>
          <t>blue_green_velvet, diffuse_edges</t>
        </is>
      </c>
      <c r="S19" s="4" t="inlineStr">
        <is>
          <t>Aspergillus/Penicillium-like</t>
        </is>
      </c>
      <c r="T19" s="4" t="inlineStr">
        <is>
          <t>low-to-moderate</t>
        </is>
      </c>
      <c r="U19" s="4" t="inlineStr">
        <is>
          <t>allergenic + opportunistic infectious</t>
        </is>
      </c>
      <c r="V19" s="4" t="inlineStr">
        <is>
          <t>24-48 hrs with persistent humidity</t>
        </is>
      </c>
      <c r="W19" s="4" t="inlineStr">
        <is>
          <t>air + surface/bulk</t>
        </is>
      </c>
      <c r="X19" s="4" t="inlineStr">
        <is>
          <t>no</t>
        </is>
      </c>
      <c r="Y19" s="4" t="inlineStr">
        <is>
          <t>blue green, white, velvety, spreading</t>
        </is>
      </c>
      <c r="Z19" s="4" t="inlineStr">
        <is>
          <t>porous materials preferred; non-porous growth usually on possible via dust</t>
        </is>
      </c>
    </row>
    <row r="20">
      <c r="A20" s="4" t="inlineStr">
        <is>
          <t>Penicillium aurantiogriseum</t>
        </is>
      </c>
      <c r="B20" s="4" t="inlineStr">
        <is>
          <t>Penicillium</t>
        </is>
      </c>
      <c r="C20" s="4" t="inlineStr">
        <is>
          <t>Common indoor</t>
        </is>
      </c>
      <c r="D20" s="4" t="inlineStr">
        <is>
          <t>blue green</t>
        </is>
      </c>
      <c r="E20" s="4" t="inlineStr">
        <is>
          <t>white</t>
        </is>
      </c>
      <c r="F20" s="4" t="inlineStr">
        <is>
          <t>velvety</t>
        </is>
      </c>
      <c r="G20" s="4" t="inlineStr">
        <is>
          <t>spreading</t>
        </is>
      </c>
      <c r="H20" s="4" t="inlineStr">
        <is>
          <t>carpet, wallpaper, drywall</t>
        </is>
      </c>
      <c r="I20" s="4" t="inlineStr">
        <is>
          <t>basements, walls, stored materials</t>
        </is>
      </c>
      <c r="J20" s="4" t="inlineStr">
        <is>
          <t>moderate</t>
        </is>
      </c>
      <c r="K20" s="4" t="inlineStr">
        <is>
          <t>60+</t>
        </is>
      </c>
      <c r="L20" s="4" t="inlineStr">
        <is>
          <t>15-30</t>
        </is>
      </c>
      <c r="M20" s="4" t="inlineStr">
        <is>
          <t>yes</t>
        </is>
      </c>
      <c r="N20" s="4" t="inlineStr">
        <is>
          <t>possible via dust</t>
        </is>
      </c>
      <c r="O20" s="4" t="inlineStr">
        <is>
          <t>moderate</t>
        </is>
      </c>
      <c r="P20" s="4" t="inlineStr">
        <is>
          <t>some strains</t>
        </is>
      </c>
      <c r="Q20" s="4" t="inlineStr">
        <is>
          <t>dry area; remove damaged porous material if extensive</t>
        </is>
      </c>
      <c r="R20" s="4" t="inlineStr">
        <is>
          <t>blue_green_velvet, diffuse_edges</t>
        </is>
      </c>
      <c r="S20" s="4" t="inlineStr">
        <is>
          <t>Aspergillus/Penicillium-like</t>
        </is>
      </c>
      <c r="T20" s="4" t="inlineStr">
        <is>
          <t>low-to-moderate</t>
        </is>
      </c>
      <c r="U20" s="4" t="inlineStr">
        <is>
          <t>allergenic + opportunistic infectious</t>
        </is>
      </c>
      <c r="V20" s="4" t="inlineStr">
        <is>
          <t>24-48 hrs with persistent humidity</t>
        </is>
      </c>
      <c r="W20" s="4" t="inlineStr">
        <is>
          <t>air + surface/bulk</t>
        </is>
      </c>
      <c r="X20" s="4" t="inlineStr">
        <is>
          <t>no</t>
        </is>
      </c>
      <c r="Y20" s="4" t="inlineStr">
        <is>
          <t>blue green, white, velvety, spreading</t>
        </is>
      </c>
      <c r="Z20" s="4" t="inlineStr">
        <is>
          <t>porous materials preferred; non-porous growth usually on possible via dust</t>
        </is>
      </c>
    </row>
    <row r="21">
      <c r="A21" s="4" t="inlineStr">
        <is>
          <t>Penicillium roqueforti</t>
        </is>
      </c>
      <c r="B21" s="4" t="inlineStr">
        <is>
          <t>Penicillium</t>
        </is>
      </c>
      <c r="C21" s="4" t="inlineStr">
        <is>
          <t>Common indoor</t>
        </is>
      </c>
      <c r="D21" s="4" t="inlineStr">
        <is>
          <t>blue green</t>
        </is>
      </c>
      <c r="E21" s="4" t="inlineStr">
        <is>
          <t>white</t>
        </is>
      </c>
      <c r="F21" s="4" t="inlineStr">
        <is>
          <t>velvety</t>
        </is>
      </c>
      <c r="G21" s="4" t="inlineStr">
        <is>
          <t>spreading</t>
        </is>
      </c>
      <c r="H21" s="4" t="inlineStr">
        <is>
          <t>carpet, wallpaper, drywall</t>
        </is>
      </c>
      <c r="I21" s="4" t="inlineStr">
        <is>
          <t>basements, walls, stored materials</t>
        </is>
      </c>
      <c r="J21" s="4" t="inlineStr">
        <is>
          <t>moderate</t>
        </is>
      </c>
      <c r="K21" s="4" t="inlineStr">
        <is>
          <t>60+</t>
        </is>
      </c>
      <c r="L21" s="4" t="inlineStr">
        <is>
          <t>15-30</t>
        </is>
      </c>
      <c r="M21" s="4" t="inlineStr">
        <is>
          <t>yes</t>
        </is>
      </c>
      <c r="N21" s="4" t="inlineStr">
        <is>
          <t>possible via dust</t>
        </is>
      </c>
      <c r="O21" s="4" t="inlineStr">
        <is>
          <t>moderate</t>
        </is>
      </c>
      <c r="P21" s="4" t="inlineStr">
        <is>
          <t>some strains</t>
        </is>
      </c>
      <c r="Q21" s="4" t="inlineStr">
        <is>
          <t>dry area; remove damaged porous material if extensive</t>
        </is>
      </c>
      <c r="R21" s="4" t="inlineStr">
        <is>
          <t>blue_green_velvet, diffuse_edges</t>
        </is>
      </c>
      <c r="S21" s="4" t="inlineStr">
        <is>
          <t>Aspergillus/Penicillium-like</t>
        </is>
      </c>
      <c r="T21" s="4" t="inlineStr">
        <is>
          <t>low-to-moderate</t>
        </is>
      </c>
      <c r="U21" s="4" t="inlineStr">
        <is>
          <t>allergenic + opportunistic infectious</t>
        </is>
      </c>
      <c r="V21" s="4" t="inlineStr">
        <is>
          <t>24-48 hrs with persistent humidity</t>
        </is>
      </c>
      <c r="W21" s="4" t="inlineStr">
        <is>
          <t>air + surface/bulk</t>
        </is>
      </c>
      <c r="X21" s="4" t="inlineStr">
        <is>
          <t>no</t>
        </is>
      </c>
      <c r="Y21" s="4" t="inlineStr">
        <is>
          <t>blue green, white, velvety, spreading</t>
        </is>
      </c>
      <c r="Z21" s="4" t="inlineStr">
        <is>
          <t>porous materials preferred; non-porous growth usually on possible via dust</t>
        </is>
      </c>
    </row>
    <row r="22">
      <c r="A22" s="4" t="inlineStr">
        <is>
          <t>Cladosporium cladosporioides</t>
        </is>
      </c>
      <c r="B22" s="4" t="inlineStr">
        <is>
          <t>Cladosporium</t>
        </is>
      </c>
      <c r="C22" s="4" t="inlineStr">
        <is>
          <t>Common indoor</t>
        </is>
      </c>
      <c r="D22" s="4" t="inlineStr">
        <is>
          <t>olive green</t>
        </is>
      </c>
      <c r="E22" s="4" t="inlineStr">
        <is>
          <t>brown</t>
        </is>
      </c>
      <c r="F22" s="4" t="inlineStr">
        <is>
          <t>powdery</t>
        </is>
      </c>
      <c r="G22" s="4" t="inlineStr">
        <is>
          <t>spotty</t>
        </is>
      </c>
      <c r="H22" s="4" t="inlineStr">
        <is>
          <t>wood, textiles, painted surfaces</t>
        </is>
      </c>
      <c r="I22" s="4" t="inlineStr">
        <is>
          <t>window sashes, HVAC, bathrooms</t>
        </is>
      </c>
      <c r="J22" s="4" t="inlineStr">
        <is>
          <t>moderate</t>
        </is>
      </c>
      <c r="K22" s="4" t="inlineStr">
        <is>
          <t>60+</t>
        </is>
      </c>
      <c r="L22" s="4" t="inlineStr">
        <is>
          <t>10-30</t>
        </is>
      </c>
      <c r="M22" s="4" t="inlineStr">
        <is>
          <t>yes</t>
        </is>
      </c>
      <c r="N22" s="4" t="inlineStr">
        <is>
          <t>possible on dirty surfaces</t>
        </is>
      </c>
      <c r="O22" s="4" t="inlineStr">
        <is>
          <t>low to moderate</t>
        </is>
      </c>
      <c r="P22" s="4" t="inlineStr">
        <is>
          <t>rare</t>
        </is>
      </c>
      <c r="Q22" s="4" t="inlineStr">
        <is>
          <t>clean visible growth and reduce condensation</t>
        </is>
      </c>
      <c r="R22" s="4" t="inlineStr">
        <is>
          <t>olive_spots, pepper_like_colonies</t>
        </is>
      </c>
      <c r="S22" s="4" t="inlineStr">
        <is>
          <t>Cladosporium common-allergen group</t>
        </is>
      </c>
      <c r="T22" s="4" t="inlineStr">
        <is>
          <t>moderate</t>
        </is>
      </c>
      <c r="U22" s="4" t="inlineStr">
        <is>
          <t>common indoor / allergen potential</t>
        </is>
      </c>
      <c r="V22" s="4" t="inlineStr">
        <is>
          <t>24-48 hrs with persistent humidity</t>
        </is>
      </c>
      <c r="W22" s="4" t="inlineStr">
        <is>
          <t>air + surface/bulk</t>
        </is>
      </c>
      <c r="X22" s="4" t="inlineStr">
        <is>
          <t>no</t>
        </is>
      </c>
      <c r="Y22" s="4" t="inlineStr">
        <is>
          <t>olive green, brown, powdery, spotty</t>
        </is>
      </c>
      <c r="Z22" s="4" t="inlineStr">
        <is>
          <t>porous materials preferred; non-porous growth usually on possible on dirty surfaces</t>
        </is>
      </c>
    </row>
    <row r="23">
      <c r="A23" s="4" t="inlineStr">
        <is>
          <t>Cladosporium herbarum</t>
        </is>
      </c>
      <c r="B23" s="4" t="inlineStr">
        <is>
          <t>Cladosporium</t>
        </is>
      </c>
      <c r="C23" s="4" t="inlineStr">
        <is>
          <t>Common indoor</t>
        </is>
      </c>
      <c r="D23" s="4" t="inlineStr">
        <is>
          <t>olive green</t>
        </is>
      </c>
      <c r="E23" s="4" t="inlineStr">
        <is>
          <t>brown</t>
        </is>
      </c>
      <c r="F23" s="4" t="inlineStr">
        <is>
          <t>powdery</t>
        </is>
      </c>
      <c r="G23" s="4" t="inlineStr">
        <is>
          <t>spotty</t>
        </is>
      </c>
      <c r="H23" s="4" t="inlineStr">
        <is>
          <t>wood, textiles, painted surfaces</t>
        </is>
      </c>
      <c r="I23" s="4" t="inlineStr">
        <is>
          <t>window sashes, HVAC, bathrooms</t>
        </is>
      </c>
      <c r="J23" s="4" t="inlineStr">
        <is>
          <t>moderate</t>
        </is>
      </c>
      <c r="K23" s="4" t="inlineStr">
        <is>
          <t>60+</t>
        </is>
      </c>
      <c r="L23" s="4" t="inlineStr">
        <is>
          <t>10-30</t>
        </is>
      </c>
      <c r="M23" s="4" t="inlineStr">
        <is>
          <t>yes</t>
        </is>
      </c>
      <c r="N23" s="4" t="inlineStr">
        <is>
          <t>possible on dirty surfaces</t>
        </is>
      </c>
      <c r="O23" s="4" t="inlineStr">
        <is>
          <t>low to moderate</t>
        </is>
      </c>
      <c r="P23" s="4" t="inlineStr">
        <is>
          <t>rare</t>
        </is>
      </c>
      <c r="Q23" s="4" t="inlineStr">
        <is>
          <t>clean visible growth and reduce condensation</t>
        </is>
      </c>
      <c r="R23" s="4" t="inlineStr">
        <is>
          <t>olive_spots, pepper_like_colonies</t>
        </is>
      </c>
      <c r="S23" s="4" t="inlineStr">
        <is>
          <t>Cladosporium common-allergen group</t>
        </is>
      </c>
      <c r="T23" s="4" t="inlineStr">
        <is>
          <t>moderate</t>
        </is>
      </c>
      <c r="U23" s="4" t="inlineStr">
        <is>
          <t>common indoor / allergen potential</t>
        </is>
      </c>
      <c r="V23" s="4" t="inlineStr">
        <is>
          <t>24-48 hrs with persistent humidity</t>
        </is>
      </c>
      <c r="W23" s="4" t="inlineStr">
        <is>
          <t>air + surface/bulk</t>
        </is>
      </c>
      <c r="X23" s="4" t="inlineStr">
        <is>
          <t>no</t>
        </is>
      </c>
      <c r="Y23" s="4" t="inlineStr">
        <is>
          <t>olive green, brown, powdery, spotty</t>
        </is>
      </c>
      <c r="Z23" s="4" t="inlineStr">
        <is>
          <t>porous materials preferred; non-porous growth usually on possible on dirty surfaces</t>
        </is>
      </c>
    </row>
    <row r="24">
      <c r="A24" s="4" t="inlineStr">
        <is>
          <t>Cladosporium sphaerospermum</t>
        </is>
      </c>
      <c r="B24" s="4" t="inlineStr">
        <is>
          <t>Cladosporium</t>
        </is>
      </c>
      <c r="C24" s="4" t="inlineStr">
        <is>
          <t>Common indoor</t>
        </is>
      </c>
      <c r="D24" s="4" t="inlineStr">
        <is>
          <t>olive green</t>
        </is>
      </c>
      <c r="E24" s="4" t="inlineStr">
        <is>
          <t>brown</t>
        </is>
      </c>
      <c r="F24" s="4" t="inlineStr">
        <is>
          <t>powdery</t>
        </is>
      </c>
      <c r="G24" s="4" t="inlineStr">
        <is>
          <t>spotty</t>
        </is>
      </c>
      <c r="H24" s="4" t="inlineStr">
        <is>
          <t>wood, textiles, painted surfaces</t>
        </is>
      </c>
      <c r="I24" s="4" t="inlineStr">
        <is>
          <t>window sashes, HVAC, bathrooms</t>
        </is>
      </c>
      <c r="J24" s="4" t="inlineStr">
        <is>
          <t>moderate</t>
        </is>
      </c>
      <c r="K24" s="4" t="inlineStr">
        <is>
          <t>60+</t>
        </is>
      </c>
      <c r="L24" s="4" t="inlineStr">
        <is>
          <t>10-30</t>
        </is>
      </c>
      <c r="M24" s="4" t="inlineStr">
        <is>
          <t>yes</t>
        </is>
      </c>
      <c r="N24" s="4" t="inlineStr">
        <is>
          <t>possible on dirty surfaces</t>
        </is>
      </c>
      <c r="O24" s="4" t="inlineStr">
        <is>
          <t>low to moderate</t>
        </is>
      </c>
      <c r="P24" s="4" t="inlineStr">
        <is>
          <t>rare</t>
        </is>
      </c>
      <c r="Q24" s="4" t="inlineStr">
        <is>
          <t>clean visible growth and reduce condensation</t>
        </is>
      </c>
      <c r="R24" s="4" t="inlineStr">
        <is>
          <t>olive_spots, pepper_like_colonies</t>
        </is>
      </c>
      <c r="S24" s="4" t="inlineStr">
        <is>
          <t>Cladosporium common-allergen group</t>
        </is>
      </c>
      <c r="T24" s="4" t="inlineStr">
        <is>
          <t>moderate</t>
        </is>
      </c>
      <c r="U24" s="4" t="inlineStr">
        <is>
          <t>common indoor / allergen potential</t>
        </is>
      </c>
      <c r="V24" s="4" t="inlineStr">
        <is>
          <t>24-48 hrs with persistent humidity</t>
        </is>
      </c>
      <c r="W24" s="4" t="inlineStr">
        <is>
          <t>air + surface/bulk</t>
        </is>
      </c>
      <c r="X24" s="4" t="inlineStr">
        <is>
          <t>no</t>
        </is>
      </c>
      <c r="Y24" s="4" t="inlineStr">
        <is>
          <t>olive green, brown, powdery, spotty</t>
        </is>
      </c>
      <c r="Z24" s="4" t="inlineStr">
        <is>
          <t>porous materials preferred; non-porous growth usually on possible on dirty surfaces</t>
        </is>
      </c>
    </row>
    <row r="25">
      <c r="A25" s="4" t="inlineStr">
        <is>
          <t>Cladosporium oxysporum</t>
        </is>
      </c>
      <c r="B25" s="4" t="inlineStr">
        <is>
          <t>Cladosporium</t>
        </is>
      </c>
      <c r="C25" s="4" t="inlineStr">
        <is>
          <t>Common indoor</t>
        </is>
      </c>
      <c r="D25" s="4" t="inlineStr">
        <is>
          <t>olive green</t>
        </is>
      </c>
      <c r="E25" s="4" t="inlineStr">
        <is>
          <t>brown</t>
        </is>
      </c>
      <c r="F25" s="4" t="inlineStr">
        <is>
          <t>powdery</t>
        </is>
      </c>
      <c r="G25" s="4" t="inlineStr">
        <is>
          <t>spotty</t>
        </is>
      </c>
      <c r="H25" s="4" t="inlineStr">
        <is>
          <t>wood, textiles, painted surfaces</t>
        </is>
      </c>
      <c r="I25" s="4" t="inlineStr">
        <is>
          <t>window sashes, HVAC, bathrooms</t>
        </is>
      </c>
      <c r="J25" s="4" t="inlineStr">
        <is>
          <t>moderate</t>
        </is>
      </c>
      <c r="K25" s="4" t="inlineStr">
        <is>
          <t>60+</t>
        </is>
      </c>
      <c r="L25" s="4" t="inlineStr">
        <is>
          <t>10-30</t>
        </is>
      </c>
      <c r="M25" s="4" t="inlineStr">
        <is>
          <t>yes</t>
        </is>
      </c>
      <c r="N25" s="4" t="inlineStr">
        <is>
          <t>possible on dirty surfaces</t>
        </is>
      </c>
      <c r="O25" s="4" t="inlineStr">
        <is>
          <t>low to moderate</t>
        </is>
      </c>
      <c r="P25" s="4" t="inlineStr">
        <is>
          <t>rare</t>
        </is>
      </c>
      <c r="Q25" s="4" t="inlineStr">
        <is>
          <t>clean visible growth and reduce condensation</t>
        </is>
      </c>
      <c r="R25" s="4" t="inlineStr">
        <is>
          <t>olive_spots, pepper_like_colonies</t>
        </is>
      </c>
      <c r="S25" s="4" t="inlineStr">
        <is>
          <t>Cladosporium common-allergen group</t>
        </is>
      </c>
      <c r="T25" s="4" t="inlineStr">
        <is>
          <t>moderate</t>
        </is>
      </c>
      <c r="U25" s="4" t="inlineStr">
        <is>
          <t>common indoor / allergen potential</t>
        </is>
      </c>
      <c r="V25" s="4" t="inlineStr">
        <is>
          <t>24-48 hrs with persistent humidity</t>
        </is>
      </c>
      <c r="W25" s="4" t="inlineStr">
        <is>
          <t>air + surface/bulk</t>
        </is>
      </c>
      <c r="X25" s="4" t="inlineStr">
        <is>
          <t>no</t>
        </is>
      </c>
      <c r="Y25" s="4" t="inlineStr">
        <is>
          <t>olive green, brown, powdery, spotty</t>
        </is>
      </c>
      <c r="Z25" s="4" t="inlineStr">
        <is>
          <t>porous materials preferred; non-porous growth usually on possible on dirty surfaces</t>
        </is>
      </c>
    </row>
    <row r="26">
      <c r="A26" s="4" t="inlineStr">
        <is>
          <t>Alternaria alternata</t>
        </is>
      </c>
      <c r="B26" s="4" t="inlineStr">
        <is>
          <t>Alternaria</t>
        </is>
      </c>
      <c r="C26" s="4" t="inlineStr">
        <is>
          <t>Allergenic</t>
        </is>
      </c>
      <c r="D26" s="4" t="inlineStr">
        <is>
          <t>dark brown</t>
        </is>
      </c>
      <c r="E26" s="4" t="inlineStr">
        <is>
          <t>olive</t>
        </is>
      </c>
      <c r="F26" s="4" t="inlineStr">
        <is>
          <t>velvety</t>
        </is>
      </c>
      <c r="G26" s="4" t="inlineStr">
        <is>
          <t>concentric</t>
        </is>
      </c>
      <c r="H26" s="4" t="inlineStr">
        <is>
          <t>window trim, drywall, fabrics</t>
        </is>
      </c>
      <c r="I26" s="4" t="inlineStr">
        <is>
          <t>condensation-prone windows, bathrooms</t>
        </is>
      </c>
      <c r="J26" s="4" t="inlineStr">
        <is>
          <t>moderate</t>
        </is>
      </c>
      <c r="K26" s="4" t="inlineStr">
        <is>
          <t>65+</t>
        </is>
      </c>
      <c r="L26" s="4" t="inlineStr">
        <is>
          <t>18-30</t>
        </is>
      </c>
      <c r="M26" s="4" t="inlineStr">
        <is>
          <t>yes</t>
        </is>
      </c>
      <c r="N26" s="4" t="inlineStr">
        <is>
          <t>possible on dirty seals</t>
        </is>
      </c>
      <c r="O26" s="4" t="inlineStr">
        <is>
          <t>moderate</t>
        </is>
      </c>
      <c r="P26" s="4" t="inlineStr">
        <is>
          <t>possible</t>
        </is>
      </c>
      <c r="Q26" s="4" t="inlineStr">
        <is>
          <t>clean minor growth; correct condensation source</t>
        </is>
      </c>
      <c r="R26" s="4" t="inlineStr">
        <is>
          <t>brown_velvet, concentric_rings</t>
        </is>
      </c>
      <c r="S26" s="4" t="inlineStr">
        <is>
          <t>Dark multicellular spore group</t>
        </is>
      </c>
      <c r="T26" s="4" t="inlineStr">
        <is>
          <t>moderate</t>
        </is>
      </c>
      <c r="U26" s="4" t="inlineStr">
        <is>
          <t>allergenic</t>
        </is>
      </c>
      <c r="V26" s="4" t="inlineStr">
        <is>
          <t>24-48 hrs with persistent humidity</t>
        </is>
      </c>
      <c r="W26" s="4" t="inlineStr">
        <is>
          <t>air + surface/bulk</t>
        </is>
      </c>
      <c r="X26" s="4" t="inlineStr">
        <is>
          <t>no</t>
        </is>
      </c>
      <c r="Y26" s="4" t="inlineStr">
        <is>
          <t>dark brown, olive, velvety, concentric</t>
        </is>
      </c>
      <c r="Z26" s="4" t="inlineStr">
        <is>
          <t>porous materials preferred; non-porous growth usually on possible on dirty seals</t>
        </is>
      </c>
    </row>
    <row r="27">
      <c r="A27" s="4" t="inlineStr">
        <is>
          <t>Alternaria tenuissima</t>
        </is>
      </c>
      <c r="B27" s="4" t="inlineStr">
        <is>
          <t>Alternaria</t>
        </is>
      </c>
      <c r="C27" s="4" t="inlineStr">
        <is>
          <t>Allergenic</t>
        </is>
      </c>
      <c r="D27" s="4" t="inlineStr">
        <is>
          <t>dark brown</t>
        </is>
      </c>
      <c r="E27" s="4" t="inlineStr">
        <is>
          <t>olive</t>
        </is>
      </c>
      <c r="F27" s="4" t="inlineStr">
        <is>
          <t>velvety</t>
        </is>
      </c>
      <c r="G27" s="4" t="inlineStr">
        <is>
          <t>concentric</t>
        </is>
      </c>
      <c r="H27" s="4" t="inlineStr">
        <is>
          <t>window trim, drywall, fabrics</t>
        </is>
      </c>
      <c r="I27" s="4" t="inlineStr">
        <is>
          <t>condensation-prone windows, bathrooms</t>
        </is>
      </c>
      <c r="J27" s="4" t="inlineStr">
        <is>
          <t>moderate</t>
        </is>
      </c>
      <c r="K27" s="4" t="inlineStr">
        <is>
          <t>65+</t>
        </is>
      </c>
      <c r="L27" s="4" t="inlineStr">
        <is>
          <t>18-30</t>
        </is>
      </c>
      <c r="M27" s="4" t="inlineStr">
        <is>
          <t>yes</t>
        </is>
      </c>
      <c r="N27" s="4" t="inlineStr">
        <is>
          <t>possible on dirty seals</t>
        </is>
      </c>
      <c r="O27" s="4" t="inlineStr">
        <is>
          <t>moderate</t>
        </is>
      </c>
      <c r="P27" s="4" t="inlineStr">
        <is>
          <t>possible</t>
        </is>
      </c>
      <c r="Q27" s="4" t="inlineStr">
        <is>
          <t>clean minor growth; correct condensation source</t>
        </is>
      </c>
      <c r="R27" s="4" t="inlineStr">
        <is>
          <t>brown_velvet, concentric_rings</t>
        </is>
      </c>
      <c r="S27" s="4" t="inlineStr">
        <is>
          <t>Dark multicellular spore group</t>
        </is>
      </c>
      <c r="T27" s="4" t="inlineStr">
        <is>
          <t>moderate</t>
        </is>
      </c>
      <c r="U27" s="4" t="inlineStr">
        <is>
          <t>allergenic</t>
        </is>
      </c>
      <c r="V27" s="4" t="inlineStr">
        <is>
          <t>24-48 hrs with persistent humidity</t>
        </is>
      </c>
      <c r="W27" s="4" t="inlineStr">
        <is>
          <t>air + surface/bulk</t>
        </is>
      </c>
      <c r="X27" s="4" t="inlineStr">
        <is>
          <t>no</t>
        </is>
      </c>
      <c r="Y27" s="4" t="inlineStr">
        <is>
          <t>dark brown, olive, velvety, concentric</t>
        </is>
      </c>
      <c r="Z27" s="4" t="inlineStr">
        <is>
          <t>porous materials preferred; non-porous growth usually on possible on dirty seals</t>
        </is>
      </c>
    </row>
    <row r="28">
      <c r="A28" s="4" t="inlineStr">
        <is>
          <t>Alternaria infectoria</t>
        </is>
      </c>
      <c r="B28" s="4" t="inlineStr">
        <is>
          <t>Alternaria</t>
        </is>
      </c>
      <c r="C28" s="4" t="inlineStr">
        <is>
          <t>Allergenic</t>
        </is>
      </c>
      <c r="D28" s="4" t="inlineStr">
        <is>
          <t>dark brown</t>
        </is>
      </c>
      <c r="E28" s="4" t="inlineStr">
        <is>
          <t>olive</t>
        </is>
      </c>
      <c r="F28" s="4" t="inlineStr">
        <is>
          <t>velvety</t>
        </is>
      </c>
      <c r="G28" s="4" t="inlineStr">
        <is>
          <t>concentric</t>
        </is>
      </c>
      <c r="H28" s="4" t="inlineStr">
        <is>
          <t>window trim, drywall, fabrics</t>
        </is>
      </c>
      <c r="I28" s="4" t="inlineStr">
        <is>
          <t>condensation-prone windows, bathrooms</t>
        </is>
      </c>
      <c r="J28" s="4" t="inlineStr">
        <is>
          <t>moderate</t>
        </is>
      </c>
      <c r="K28" s="4" t="inlineStr">
        <is>
          <t>65+</t>
        </is>
      </c>
      <c r="L28" s="4" t="inlineStr">
        <is>
          <t>18-30</t>
        </is>
      </c>
      <c r="M28" s="4" t="inlineStr">
        <is>
          <t>yes</t>
        </is>
      </c>
      <c r="N28" s="4" t="inlineStr">
        <is>
          <t>possible on dirty seals</t>
        </is>
      </c>
      <c r="O28" s="4" t="inlineStr">
        <is>
          <t>moderate</t>
        </is>
      </c>
      <c r="P28" s="4" t="inlineStr">
        <is>
          <t>possible</t>
        </is>
      </c>
      <c r="Q28" s="4" t="inlineStr">
        <is>
          <t>clean minor growth; correct condensation source</t>
        </is>
      </c>
      <c r="R28" s="4" t="inlineStr">
        <is>
          <t>brown_velvet, concentric_rings</t>
        </is>
      </c>
      <c r="S28" s="4" t="inlineStr">
        <is>
          <t>Dark multicellular spore group</t>
        </is>
      </c>
      <c r="T28" s="4" t="inlineStr">
        <is>
          <t>moderate</t>
        </is>
      </c>
      <c r="U28" s="4" t="inlineStr">
        <is>
          <t>allergenic</t>
        </is>
      </c>
      <c r="V28" s="4" t="inlineStr">
        <is>
          <t>24-48 hrs with persistent humidity</t>
        </is>
      </c>
      <c r="W28" s="4" t="inlineStr">
        <is>
          <t>air + surface/bulk</t>
        </is>
      </c>
      <c r="X28" s="4" t="inlineStr">
        <is>
          <t>no</t>
        </is>
      </c>
      <c r="Y28" s="4" t="inlineStr">
        <is>
          <t>dark brown, olive, velvety, concentric</t>
        </is>
      </c>
      <c r="Z28" s="4" t="inlineStr">
        <is>
          <t>porous materials preferred; non-porous growth usually on possible on dirty seals</t>
        </is>
      </c>
    </row>
    <row r="29">
      <c r="A29" s="4" t="inlineStr">
        <is>
          <t>Alternaria atra</t>
        </is>
      </c>
      <c r="B29" s="4" t="inlineStr">
        <is>
          <t>Alternaria</t>
        </is>
      </c>
      <c r="C29" s="4" t="inlineStr">
        <is>
          <t>Allergenic</t>
        </is>
      </c>
      <c r="D29" s="4" t="inlineStr">
        <is>
          <t>dark brown</t>
        </is>
      </c>
      <c r="E29" s="4" t="inlineStr">
        <is>
          <t>olive</t>
        </is>
      </c>
      <c r="F29" s="4" t="inlineStr">
        <is>
          <t>velvety</t>
        </is>
      </c>
      <c r="G29" s="4" t="inlineStr">
        <is>
          <t>concentric</t>
        </is>
      </c>
      <c r="H29" s="4" t="inlineStr">
        <is>
          <t>window trim, drywall, fabrics</t>
        </is>
      </c>
      <c r="I29" s="4" t="inlineStr">
        <is>
          <t>condensation-prone windows, bathrooms</t>
        </is>
      </c>
      <c r="J29" s="4" t="inlineStr">
        <is>
          <t>moderate</t>
        </is>
      </c>
      <c r="K29" s="4" t="inlineStr">
        <is>
          <t>65+</t>
        </is>
      </c>
      <c r="L29" s="4" t="inlineStr">
        <is>
          <t>18-30</t>
        </is>
      </c>
      <c r="M29" s="4" t="inlineStr">
        <is>
          <t>yes</t>
        </is>
      </c>
      <c r="N29" s="4" t="inlineStr">
        <is>
          <t>possible on dirty seals</t>
        </is>
      </c>
      <c r="O29" s="4" t="inlineStr">
        <is>
          <t>moderate</t>
        </is>
      </c>
      <c r="P29" s="4" t="inlineStr">
        <is>
          <t>possible</t>
        </is>
      </c>
      <c r="Q29" s="4" t="inlineStr">
        <is>
          <t>clean minor growth; correct condensation source</t>
        </is>
      </c>
      <c r="R29" s="4" t="inlineStr">
        <is>
          <t>brown_velvet, concentric_rings</t>
        </is>
      </c>
      <c r="S29" s="4" t="inlineStr">
        <is>
          <t>Dark multicellular spore group</t>
        </is>
      </c>
      <c r="T29" s="4" t="inlineStr">
        <is>
          <t>moderate</t>
        </is>
      </c>
      <c r="U29" s="4" t="inlineStr">
        <is>
          <t>allergenic</t>
        </is>
      </c>
      <c r="V29" s="4" t="inlineStr">
        <is>
          <t>24-48 hrs with persistent humidity</t>
        </is>
      </c>
      <c r="W29" s="4" t="inlineStr">
        <is>
          <t>air + surface/bulk</t>
        </is>
      </c>
      <c r="X29" s="4" t="inlineStr">
        <is>
          <t>no</t>
        </is>
      </c>
      <c r="Y29" s="4" t="inlineStr">
        <is>
          <t>dark brown, olive, velvety, concentric</t>
        </is>
      </c>
      <c r="Z29" s="4" t="inlineStr">
        <is>
          <t>porous materials preferred; non-porous growth usually on possible on dirty seals</t>
        </is>
      </c>
    </row>
    <row r="30">
      <c r="A30" s="4" t="inlineStr">
        <is>
          <t>Chaetomium globosum</t>
        </is>
      </c>
      <c r="B30" s="4" t="inlineStr">
        <is>
          <t>Chaetomium</t>
        </is>
      </c>
      <c r="C30" s="4" t="inlineStr">
        <is>
          <t>Water damage mold</t>
        </is>
      </c>
      <c r="D30" s="4" t="inlineStr">
        <is>
          <t>white to gray</t>
        </is>
      </c>
      <c r="E30" s="4" t="inlineStr">
        <is>
          <t>olive brown</t>
        </is>
      </c>
      <c r="F30" s="4" t="inlineStr">
        <is>
          <t>cottony</t>
        </is>
      </c>
      <c r="G30" s="4" t="inlineStr">
        <is>
          <t>patchy</t>
        </is>
      </c>
      <c r="H30" s="4" t="inlineStr">
        <is>
          <t>wet drywall, paper backing, cellulose</t>
        </is>
      </c>
      <c r="I30" s="4" t="inlineStr">
        <is>
          <t>flooded walls, subfloors</t>
        </is>
      </c>
      <c r="J30" s="4" t="inlineStr">
        <is>
          <t>high</t>
        </is>
      </c>
      <c r="K30" s="4" t="inlineStr">
        <is>
          <t>70+</t>
        </is>
      </c>
      <c r="L30" s="4" t="inlineStr">
        <is>
          <t>20-32</t>
        </is>
      </c>
      <c r="M30" s="4" t="inlineStr">
        <is>
          <t>yes</t>
        </is>
      </c>
      <c r="N30" s="4" t="inlineStr">
        <is>
          <t>rare</t>
        </is>
      </c>
      <c r="O30" s="4" t="inlineStr">
        <is>
          <t>high</t>
        </is>
      </c>
      <c r="P30" s="4" t="inlineStr">
        <is>
          <t>possible</t>
        </is>
      </c>
      <c r="Q30" s="4" t="inlineStr">
        <is>
          <t>remove contaminated porous materials; dry structure</t>
        </is>
      </c>
      <c r="R30" s="4" t="inlineStr">
        <is>
          <t>cottony_colony, water_damage, brown_maturation</t>
        </is>
      </c>
      <c r="S30" s="4" t="inlineStr">
        <is>
          <t>Chaetomium water-damage marker</t>
        </is>
      </c>
      <c r="T30" s="4" t="inlineStr">
        <is>
          <t>high</t>
        </is>
      </c>
      <c r="U30" s="4" t="inlineStr">
        <is>
          <t>common indoor / allergen potential</t>
        </is>
      </c>
      <c r="V30" s="4" t="inlineStr">
        <is>
          <t>48-72+ hrs after sustained wetting</t>
        </is>
      </c>
      <c r="W30" s="4" t="inlineStr">
        <is>
          <t>surface/bulk preferred; air may under-represent</t>
        </is>
      </c>
      <c r="X30" s="4" t="inlineStr">
        <is>
          <t>yes</t>
        </is>
      </c>
      <c r="Y30" s="4" t="inlineStr">
        <is>
          <t>white to gray, olive brown, cottony, patchy</t>
        </is>
      </c>
      <c r="Z30" s="4" t="inlineStr">
        <is>
          <t>porous materials preferred; non-porous growth usually on rare</t>
        </is>
      </c>
    </row>
    <row r="31">
      <c r="A31" s="4" t="inlineStr">
        <is>
          <t>Chaetomium murorum</t>
        </is>
      </c>
      <c r="B31" s="4" t="inlineStr">
        <is>
          <t>Chaetomium</t>
        </is>
      </c>
      <c r="C31" s="4" t="inlineStr">
        <is>
          <t>Water damage mold</t>
        </is>
      </c>
      <c r="D31" s="4" t="inlineStr">
        <is>
          <t>white to gray</t>
        </is>
      </c>
      <c r="E31" s="4" t="inlineStr">
        <is>
          <t>olive brown</t>
        </is>
      </c>
      <c r="F31" s="4" t="inlineStr">
        <is>
          <t>cottony</t>
        </is>
      </c>
      <c r="G31" s="4" t="inlineStr">
        <is>
          <t>patchy</t>
        </is>
      </c>
      <c r="H31" s="4" t="inlineStr">
        <is>
          <t>wet drywall, paper backing, cellulose</t>
        </is>
      </c>
      <c r="I31" s="4" t="inlineStr">
        <is>
          <t>flooded walls, subfloors</t>
        </is>
      </c>
      <c r="J31" s="4" t="inlineStr">
        <is>
          <t>high</t>
        </is>
      </c>
      <c r="K31" s="4" t="inlineStr">
        <is>
          <t>70+</t>
        </is>
      </c>
      <c r="L31" s="4" t="inlineStr">
        <is>
          <t>20-32</t>
        </is>
      </c>
      <c r="M31" s="4" t="inlineStr">
        <is>
          <t>yes</t>
        </is>
      </c>
      <c r="N31" s="4" t="inlineStr">
        <is>
          <t>rare</t>
        </is>
      </c>
      <c r="O31" s="4" t="inlineStr">
        <is>
          <t>high</t>
        </is>
      </c>
      <c r="P31" s="4" t="inlineStr">
        <is>
          <t>possible</t>
        </is>
      </c>
      <c r="Q31" s="4" t="inlineStr">
        <is>
          <t>remove contaminated porous materials; dry structure</t>
        </is>
      </c>
      <c r="R31" s="4" t="inlineStr">
        <is>
          <t>cottony_colony, water_damage, brown_maturation</t>
        </is>
      </c>
      <c r="S31" s="4" t="inlineStr">
        <is>
          <t>Chaetomium water-damage marker</t>
        </is>
      </c>
      <c r="T31" s="4" t="inlineStr">
        <is>
          <t>high</t>
        </is>
      </c>
      <c r="U31" s="4" t="inlineStr">
        <is>
          <t>common indoor / allergen potential</t>
        </is>
      </c>
      <c r="V31" s="4" t="inlineStr">
        <is>
          <t>48-72+ hrs after sustained wetting</t>
        </is>
      </c>
      <c r="W31" s="4" t="inlineStr">
        <is>
          <t>surface/bulk preferred; air may under-represent</t>
        </is>
      </c>
      <c r="X31" s="4" t="inlineStr">
        <is>
          <t>yes</t>
        </is>
      </c>
      <c r="Y31" s="4" t="inlineStr">
        <is>
          <t>white to gray, olive brown, cottony, patchy</t>
        </is>
      </c>
      <c r="Z31" s="4" t="inlineStr">
        <is>
          <t>porous materials preferred; non-porous growth usually on rare</t>
        </is>
      </c>
    </row>
    <row r="32">
      <c r="A32" s="4" t="inlineStr">
        <is>
          <t>Chaetomium elatum</t>
        </is>
      </c>
      <c r="B32" s="4" t="inlineStr">
        <is>
          <t>Chaetomium</t>
        </is>
      </c>
      <c r="C32" s="4" t="inlineStr">
        <is>
          <t>Water damage mold</t>
        </is>
      </c>
      <c r="D32" s="4" t="inlineStr">
        <is>
          <t>white to gray</t>
        </is>
      </c>
      <c r="E32" s="4" t="inlineStr">
        <is>
          <t>olive brown</t>
        </is>
      </c>
      <c r="F32" s="4" t="inlineStr">
        <is>
          <t>cottony</t>
        </is>
      </c>
      <c r="G32" s="4" t="inlineStr">
        <is>
          <t>patchy</t>
        </is>
      </c>
      <c r="H32" s="4" t="inlineStr">
        <is>
          <t>wet drywall, paper backing, cellulose</t>
        </is>
      </c>
      <c r="I32" s="4" t="inlineStr">
        <is>
          <t>flooded walls, subfloors</t>
        </is>
      </c>
      <c r="J32" s="4" t="inlineStr">
        <is>
          <t>high</t>
        </is>
      </c>
      <c r="K32" s="4" t="inlineStr">
        <is>
          <t>70+</t>
        </is>
      </c>
      <c r="L32" s="4" t="inlineStr">
        <is>
          <t>20-32</t>
        </is>
      </c>
      <c r="M32" s="4" t="inlineStr">
        <is>
          <t>yes</t>
        </is>
      </c>
      <c r="N32" s="4" t="inlineStr">
        <is>
          <t>rare</t>
        </is>
      </c>
      <c r="O32" s="4" t="inlineStr">
        <is>
          <t>high</t>
        </is>
      </c>
      <c r="P32" s="4" t="inlineStr">
        <is>
          <t>possible</t>
        </is>
      </c>
      <c r="Q32" s="4" t="inlineStr">
        <is>
          <t>remove contaminated porous materials; dry structure</t>
        </is>
      </c>
      <c r="R32" s="4" t="inlineStr">
        <is>
          <t>cottony_colony, water_damage, brown_maturation</t>
        </is>
      </c>
      <c r="S32" s="4" t="inlineStr">
        <is>
          <t>Chaetomium water-damage marker</t>
        </is>
      </c>
      <c r="T32" s="4" t="inlineStr">
        <is>
          <t>high</t>
        </is>
      </c>
      <c r="U32" s="4" t="inlineStr">
        <is>
          <t>common indoor / allergen potential</t>
        </is>
      </c>
      <c r="V32" s="4" t="inlineStr">
        <is>
          <t>48-72+ hrs after sustained wetting</t>
        </is>
      </c>
      <c r="W32" s="4" t="inlineStr">
        <is>
          <t>surface/bulk preferred; air may under-represent</t>
        </is>
      </c>
      <c r="X32" s="4" t="inlineStr">
        <is>
          <t>yes</t>
        </is>
      </c>
      <c r="Y32" s="4" t="inlineStr">
        <is>
          <t>white to gray, olive brown, cottony, patchy</t>
        </is>
      </c>
      <c r="Z32" s="4" t="inlineStr">
        <is>
          <t>porous materials preferred; non-porous growth usually on rare</t>
        </is>
      </c>
    </row>
    <row r="33">
      <c r="A33" s="4" t="inlineStr">
        <is>
          <t>Chaetomium atrobrunneum</t>
        </is>
      </c>
      <c r="B33" s="4" t="inlineStr">
        <is>
          <t>Chaetomium</t>
        </is>
      </c>
      <c r="C33" s="4" t="inlineStr">
        <is>
          <t>Water damage mold</t>
        </is>
      </c>
      <c r="D33" s="4" t="inlineStr">
        <is>
          <t>white to gray</t>
        </is>
      </c>
      <c r="E33" s="4" t="inlineStr">
        <is>
          <t>olive brown</t>
        </is>
      </c>
      <c r="F33" s="4" t="inlineStr">
        <is>
          <t>cottony</t>
        </is>
      </c>
      <c r="G33" s="4" t="inlineStr">
        <is>
          <t>patchy</t>
        </is>
      </c>
      <c r="H33" s="4" t="inlineStr">
        <is>
          <t>wet drywall, paper backing, cellulose</t>
        </is>
      </c>
      <c r="I33" s="4" t="inlineStr">
        <is>
          <t>flooded walls, subfloors</t>
        </is>
      </c>
      <c r="J33" s="4" t="inlineStr">
        <is>
          <t>high</t>
        </is>
      </c>
      <c r="K33" s="4" t="inlineStr">
        <is>
          <t>70+</t>
        </is>
      </c>
      <c r="L33" s="4" t="inlineStr">
        <is>
          <t>20-32</t>
        </is>
      </c>
      <c r="M33" s="4" t="inlineStr">
        <is>
          <t>yes</t>
        </is>
      </c>
      <c r="N33" s="4" t="inlineStr">
        <is>
          <t>rare</t>
        </is>
      </c>
      <c r="O33" s="4" t="inlineStr">
        <is>
          <t>high</t>
        </is>
      </c>
      <c r="P33" s="4" t="inlineStr">
        <is>
          <t>possible</t>
        </is>
      </c>
      <c r="Q33" s="4" t="inlineStr">
        <is>
          <t>remove contaminated porous materials; dry structure</t>
        </is>
      </c>
      <c r="R33" s="4" t="inlineStr">
        <is>
          <t>cottony_colony, water_damage, brown_maturation</t>
        </is>
      </c>
      <c r="S33" s="4" t="inlineStr">
        <is>
          <t>Chaetomium water-damage marker</t>
        </is>
      </c>
      <c r="T33" s="4" t="inlineStr">
        <is>
          <t>high</t>
        </is>
      </c>
      <c r="U33" s="4" t="inlineStr">
        <is>
          <t>common indoor / allergen potential</t>
        </is>
      </c>
      <c r="V33" s="4" t="inlineStr">
        <is>
          <t>48-72+ hrs after sustained wetting</t>
        </is>
      </c>
      <c r="W33" s="4" t="inlineStr">
        <is>
          <t>surface/bulk preferred; air may under-represent</t>
        </is>
      </c>
      <c r="X33" s="4" t="inlineStr">
        <is>
          <t>yes</t>
        </is>
      </c>
      <c r="Y33" s="4" t="inlineStr">
        <is>
          <t>white to gray, olive brown, cottony, patchy</t>
        </is>
      </c>
      <c r="Z33" s="4" t="inlineStr">
        <is>
          <t>porous materials preferred; non-porous growth usually on rare</t>
        </is>
      </c>
    </row>
    <row r="34">
      <c r="A34" s="4" t="inlineStr">
        <is>
          <t>Ulocladium chartarum</t>
        </is>
      </c>
      <c r="B34" s="4" t="inlineStr">
        <is>
          <t>Ulocladium</t>
        </is>
      </c>
      <c r="C34" s="4" t="inlineStr">
        <is>
          <t>Water damage mold</t>
        </is>
      </c>
      <c r="D34" s="4" t="inlineStr">
        <is>
          <t>dark brown</t>
        </is>
      </c>
      <c r="E34" s="4" t="inlineStr">
        <is>
          <t>black</t>
        </is>
      </c>
      <c r="F34" s="4" t="inlineStr">
        <is>
          <t>velvety</t>
        </is>
      </c>
      <c r="G34" s="4" t="inlineStr">
        <is>
          <t>patchy</t>
        </is>
      </c>
      <c r="H34" s="4" t="inlineStr">
        <is>
          <t>wallboard, wood, paper</t>
        </is>
      </c>
      <c r="I34" s="4" t="inlineStr">
        <is>
          <t>chronically wet bathrooms, basements</t>
        </is>
      </c>
      <c r="J34" s="4" t="inlineStr">
        <is>
          <t>high</t>
        </is>
      </c>
      <c r="K34" s="4" t="inlineStr">
        <is>
          <t>70+</t>
        </is>
      </c>
      <c r="L34" s="4" t="inlineStr">
        <is>
          <t>18-30</t>
        </is>
      </c>
      <c r="M34" s="4" t="inlineStr">
        <is>
          <t>yes</t>
        </is>
      </c>
      <c r="N34" s="4" t="inlineStr">
        <is>
          <t>rare</t>
        </is>
      </c>
      <c r="O34" s="4" t="inlineStr">
        <is>
          <t>moderate</t>
        </is>
      </c>
      <c r="P34" s="4" t="inlineStr">
        <is>
          <t>possible</t>
        </is>
      </c>
      <c r="Q34" s="4" t="inlineStr">
        <is>
          <t>remove wet porous materials and control moisture</t>
        </is>
      </c>
      <c r="R34" s="4" t="inlineStr">
        <is>
          <t>dark_velvet, wet_zone_growth</t>
        </is>
      </c>
      <c r="S34" s="4" t="inlineStr">
        <is>
          <t>Dark multicellular spore group</t>
        </is>
      </c>
      <c r="T34" s="4" t="inlineStr">
        <is>
          <t>moderate</t>
        </is>
      </c>
      <c r="U34" s="4" t="inlineStr">
        <is>
          <t>common indoor / allergen potential</t>
        </is>
      </c>
      <c r="V34" s="4" t="inlineStr">
        <is>
          <t>48-72+ hrs after sustained wetting</t>
        </is>
      </c>
      <c r="W34" s="4" t="inlineStr">
        <is>
          <t>surface/bulk + air comparison</t>
        </is>
      </c>
      <c r="X34" s="4" t="inlineStr">
        <is>
          <t>yes</t>
        </is>
      </c>
      <c r="Y34" s="4" t="inlineStr">
        <is>
          <t>dark brown, black, velvety, patchy</t>
        </is>
      </c>
      <c r="Z34" s="4" t="inlineStr">
        <is>
          <t>porous materials preferred; non-porous growth usually on rare</t>
        </is>
      </c>
    </row>
    <row r="35">
      <c r="A35" s="4" t="inlineStr">
        <is>
          <t>Ulocladium atrum</t>
        </is>
      </c>
      <c r="B35" s="4" t="inlineStr">
        <is>
          <t>Ulocladium</t>
        </is>
      </c>
      <c r="C35" s="4" t="inlineStr">
        <is>
          <t>Water damage mold</t>
        </is>
      </c>
      <c r="D35" s="4" t="inlineStr">
        <is>
          <t>dark brown</t>
        </is>
      </c>
      <c r="E35" s="4" t="inlineStr">
        <is>
          <t>black</t>
        </is>
      </c>
      <c r="F35" s="4" t="inlineStr">
        <is>
          <t>velvety</t>
        </is>
      </c>
      <c r="G35" s="4" t="inlineStr">
        <is>
          <t>patchy</t>
        </is>
      </c>
      <c r="H35" s="4" t="inlineStr">
        <is>
          <t>wallboard, wood, paper</t>
        </is>
      </c>
      <c r="I35" s="4" t="inlineStr">
        <is>
          <t>chronically wet bathrooms, basements</t>
        </is>
      </c>
      <c r="J35" s="4" t="inlineStr">
        <is>
          <t>high</t>
        </is>
      </c>
      <c r="K35" s="4" t="inlineStr">
        <is>
          <t>70+</t>
        </is>
      </c>
      <c r="L35" s="4" t="inlineStr">
        <is>
          <t>18-30</t>
        </is>
      </c>
      <c r="M35" s="4" t="inlineStr">
        <is>
          <t>yes</t>
        </is>
      </c>
      <c r="N35" s="4" t="inlineStr">
        <is>
          <t>rare</t>
        </is>
      </c>
      <c r="O35" s="4" t="inlineStr">
        <is>
          <t>moderate</t>
        </is>
      </c>
      <c r="P35" s="4" t="inlineStr">
        <is>
          <t>possible</t>
        </is>
      </c>
      <c r="Q35" s="4" t="inlineStr">
        <is>
          <t>remove wet porous materials and control moisture</t>
        </is>
      </c>
      <c r="R35" s="4" t="inlineStr">
        <is>
          <t>dark_velvet, wet_zone_growth</t>
        </is>
      </c>
      <c r="S35" s="4" t="inlineStr">
        <is>
          <t>Dark multicellular spore group</t>
        </is>
      </c>
      <c r="T35" s="4" t="inlineStr">
        <is>
          <t>moderate</t>
        </is>
      </c>
      <c r="U35" s="4" t="inlineStr">
        <is>
          <t>common indoor / allergen potential</t>
        </is>
      </c>
      <c r="V35" s="4" t="inlineStr">
        <is>
          <t>48-72+ hrs after sustained wetting</t>
        </is>
      </c>
      <c r="W35" s="4" t="inlineStr">
        <is>
          <t>surface/bulk + air comparison</t>
        </is>
      </c>
      <c r="X35" s="4" t="inlineStr">
        <is>
          <t>yes</t>
        </is>
      </c>
      <c r="Y35" s="4" t="inlineStr">
        <is>
          <t>dark brown, black, velvety, patchy</t>
        </is>
      </c>
      <c r="Z35" s="4" t="inlineStr">
        <is>
          <t>porous materials preferred; non-porous growth usually on rare</t>
        </is>
      </c>
    </row>
    <row r="36">
      <c r="A36" s="4" t="inlineStr">
        <is>
          <t>Fusarium oxysporum</t>
        </is>
      </c>
      <c r="B36" s="4" t="inlineStr">
        <is>
          <t>Fusarium</t>
        </is>
      </c>
      <c r="C36" s="4" t="inlineStr">
        <is>
          <t>Pathogenic / Water damage mold</t>
        </is>
      </c>
      <c r="D36" s="4" t="inlineStr">
        <is>
          <t>pink</t>
        </is>
      </c>
      <c r="E36" s="4" t="inlineStr">
        <is>
          <t>white</t>
        </is>
      </c>
      <c r="F36" s="4" t="inlineStr">
        <is>
          <t>cottony</t>
        </is>
      </c>
      <c r="G36" s="4" t="inlineStr">
        <is>
          <t>spreading</t>
        </is>
      </c>
      <c r="H36" s="4" t="inlineStr">
        <is>
          <t>carpet, wallpaper, wet drywall</t>
        </is>
      </c>
      <c r="I36" s="4" t="inlineStr">
        <is>
          <t>flooded materials, HVAC liners</t>
        </is>
      </c>
      <c r="J36" s="4" t="inlineStr">
        <is>
          <t>high</t>
        </is>
      </c>
      <c r="K36" s="4" t="inlineStr">
        <is>
          <t>70+</t>
        </is>
      </c>
      <c r="L36" s="4" t="inlineStr">
        <is>
          <t>15-30</t>
        </is>
      </c>
      <c r="M36" s="4" t="inlineStr">
        <is>
          <t>yes</t>
        </is>
      </c>
      <c r="N36" s="4" t="inlineStr">
        <is>
          <t>rare</t>
        </is>
      </c>
      <c r="O36" s="4" t="inlineStr">
        <is>
          <t>moderate to high</t>
        </is>
      </c>
      <c r="P36" s="4" t="inlineStr">
        <is>
          <t>some strains</t>
        </is>
      </c>
      <c r="Q36" s="4" t="inlineStr">
        <is>
          <t>remove contaminated porous materials; use PPE</t>
        </is>
      </c>
      <c r="R36" s="4" t="inlineStr">
        <is>
          <t>pink_white_growth, cottony_texture</t>
        </is>
      </c>
      <c r="S36" s="4" t="inlineStr">
        <is>
          <t>Fusarium sickle-spore group</t>
        </is>
      </c>
      <c r="T36" s="4" t="inlineStr">
        <is>
          <t>moderate</t>
        </is>
      </c>
      <c r="U36" s="4" t="inlineStr">
        <is>
          <t>toxic + allergenic</t>
        </is>
      </c>
      <c r="V36" s="4" t="inlineStr">
        <is>
          <t>48-72+ hrs after sustained wetting</t>
        </is>
      </c>
      <c r="W36" s="4" t="inlineStr">
        <is>
          <t>surface/bulk + air comparison</t>
        </is>
      </c>
      <c r="X36" s="4" t="inlineStr">
        <is>
          <t>no</t>
        </is>
      </c>
      <c r="Y36" s="4" t="inlineStr">
        <is>
          <t>pink, white, cottony, spreading</t>
        </is>
      </c>
      <c r="Z36" s="4" t="inlineStr">
        <is>
          <t>porous materials preferred; non-porous growth usually on rare</t>
        </is>
      </c>
    </row>
    <row r="37">
      <c r="A37" s="4" t="inlineStr">
        <is>
          <t>Fusarium solani</t>
        </is>
      </c>
      <c r="B37" s="4" t="inlineStr">
        <is>
          <t>Fusarium</t>
        </is>
      </c>
      <c r="C37" s="4" t="inlineStr">
        <is>
          <t>Pathogenic / Water damage mold</t>
        </is>
      </c>
      <c r="D37" s="4" t="inlineStr">
        <is>
          <t>pink</t>
        </is>
      </c>
      <c r="E37" s="4" t="inlineStr">
        <is>
          <t>white</t>
        </is>
      </c>
      <c r="F37" s="4" t="inlineStr">
        <is>
          <t>cottony</t>
        </is>
      </c>
      <c r="G37" s="4" t="inlineStr">
        <is>
          <t>spreading</t>
        </is>
      </c>
      <c r="H37" s="4" t="inlineStr">
        <is>
          <t>carpet, wallpaper, wet drywall</t>
        </is>
      </c>
      <c r="I37" s="4" t="inlineStr">
        <is>
          <t>flooded materials, HVAC liners</t>
        </is>
      </c>
      <c r="J37" s="4" t="inlineStr">
        <is>
          <t>high</t>
        </is>
      </c>
      <c r="K37" s="4" t="inlineStr">
        <is>
          <t>70+</t>
        </is>
      </c>
      <c r="L37" s="4" t="inlineStr">
        <is>
          <t>15-30</t>
        </is>
      </c>
      <c r="M37" s="4" t="inlineStr">
        <is>
          <t>yes</t>
        </is>
      </c>
      <c r="N37" s="4" t="inlineStr">
        <is>
          <t>rare</t>
        </is>
      </c>
      <c r="O37" s="4" t="inlineStr">
        <is>
          <t>moderate to high</t>
        </is>
      </c>
      <c r="P37" s="4" t="inlineStr">
        <is>
          <t>some strains</t>
        </is>
      </c>
      <c r="Q37" s="4" t="inlineStr">
        <is>
          <t>remove contaminated porous materials; use PPE</t>
        </is>
      </c>
      <c r="R37" s="4" t="inlineStr">
        <is>
          <t>pink_white_growth, cottony_texture</t>
        </is>
      </c>
      <c r="S37" s="4" t="inlineStr">
        <is>
          <t>Fusarium sickle-spore group</t>
        </is>
      </c>
      <c r="T37" s="4" t="inlineStr">
        <is>
          <t>moderate</t>
        </is>
      </c>
      <c r="U37" s="4" t="inlineStr">
        <is>
          <t>toxic + allergenic</t>
        </is>
      </c>
      <c r="V37" s="4" t="inlineStr">
        <is>
          <t>48-72+ hrs after sustained wetting</t>
        </is>
      </c>
      <c r="W37" s="4" t="inlineStr">
        <is>
          <t>surface/bulk + air comparison</t>
        </is>
      </c>
      <c r="X37" s="4" t="inlineStr">
        <is>
          <t>no</t>
        </is>
      </c>
      <c r="Y37" s="4" t="inlineStr">
        <is>
          <t>pink, white, cottony, spreading</t>
        </is>
      </c>
      <c r="Z37" s="4" t="inlineStr">
        <is>
          <t>porous materials preferred; non-porous growth usually on rare</t>
        </is>
      </c>
    </row>
    <row r="38">
      <c r="A38" s="4" t="inlineStr">
        <is>
          <t>Fusarium verticillioides</t>
        </is>
      </c>
      <c r="B38" s="4" t="inlineStr">
        <is>
          <t>Fusarium</t>
        </is>
      </c>
      <c r="C38" s="4" t="inlineStr">
        <is>
          <t>Pathogenic / Water damage mold</t>
        </is>
      </c>
      <c r="D38" s="4" t="inlineStr">
        <is>
          <t>pink</t>
        </is>
      </c>
      <c r="E38" s="4" t="inlineStr">
        <is>
          <t>white</t>
        </is>
      </c>
      <c r="F38" s="4" t="inlineStr">
        <is>
          <t>cottony</t>
        </is>
      </c>
      <c r="G38" s="4" t="inlineStr">
        <is>
          <t>spreading</t>
        </is>
      </c>
      <c r="H38" s="4" t="inlineStr">
        <is>
          <t>carpet, wallpaper, wet drywall</t>
        </is>
      </c>
      <c r="I38" s="4" t="inlineStr">
        <is>
          <t>flooded materials, HVAC liners</t>
        </is>
      </c>
      <c r="J38" s="4" t="inlineStr">
        <is>
          <t>high</t>
        </is>
      </c>
      <c r="K38" s="4" t="inlineStr">
        <is>
          <t>70+</t>
        </is>
      </c>
      <c r="L38" s="4" t="inlineStr">
        <is>
          <t>15-30</t>
        </is>
      </c>
      <c r="M38" s="4" t="inlineStr">
        <is>
          <t>yes</t>
        </is>
      </c>
      <c r="N38" s="4" t="inlineStr">
        <is>
          <t>rare</t>
        </is>
      </c>
      <c r="O38" s="4" t="inlineStr">
        <is>
          <t>moderate to high</t>
        </is>
      </c>
      <c r="P38" s="4" t="inlineStr">
        <is>
          <t>some strains</t>
        </is>
      </c>
      <c r="Q38" s="4" t="inlineStr">
        <is>
          <t>remove contaminated porous materials; use PPE</t>
        </is>
      </c>
      <c r="R38" s="4" t="inlineStr">
        <is>
          <t>pink_white_growth, cottony_texture</t>
        </is>
      </c>
      <c r="S38" s="4" t="inlineStr">
        <is>
          <t>Fusarium sickle-spore group</t>
        </is>
      </c>
      <c r="T38" s="4" t="inlineStr">
        <is>
          <t>moderate</t>
        </is>
      </c>
      <c r="U38" s="4" t="inlineStr">
        <is>
          <t>toxic + allergenic</t>
        </is>
      </c>
      <c r="V38" s="4" t="inlineStr">
        <is>
          <t>48-72+ hrs after sustained wetting</t>
        </is>
      </c>
      <c r="W38" s="4" t="inlineStr">
        <is>
          <t>surface/bulk + air comparison</t>
        </is>
      </c>
      <c r="X38" s="4" t="inlineStr">
        <is>
          <t>no</t>
        </is>
      </c>
      <c r="Y38" s="4" t="inlineStr">
        <is>
          <t>pink, white, cottony, spreading</t>
        </is>
      </c>
      <c r="Z38" s="4" t="inlineStr">
        <is>
          <t>porous materials preferred; non-porous growth usually on rare</t>
        </is>
      </c>
    </row>
    <row r="39">
      <c r="A39" s="4" t="inlineStr">
        <is>
          <t>Fusarium proliferatum</t>
        </is>
      </c>
      <c r="B39" s="4" t="inlineStr">
        <is>
          <t>Fusarium</t>
        </is>
      </c>
      <c r="C39" s="4" t="inlineStr">
        <is>
          <t>Pathogenic / Water damage mold</t>
        </is>
      </c>
      <c r="D39" s="4" t="inlineStr">
        <is>
          <t>pink</t>
        </is>
      </c>
      <c r="E39" s="4" t="inlineStr">
        <is>
          <t>white</t>
        </is>
      </c>
      <c r="F39" s="4" t="inlineStr">
        <is>
          <t>cottony</t>
        </is>
      </c>
      <c r="G39" s="4" t="inlineStr">
        <is>
          <t>spreading</t>
        </is>
      </c>
      <c r="H39" s="4" t="inlineStr">
        <is>
          <t>carpet, wallpaper, wet drywall</t>
        </is>
      </c>
      <c r="I39" s="4" t="inlineStr">
        <is>
          <t>flooded materials, HVAC liners</t>
        </is>
      </c>
      <c r="J39" s="4" t="inlineStr">
        <is>
          <t>high</t>
        </is>
      </c>
      <c r="K39" s="4" t="inlineStr">
        <is>
          <t>70+</t>
        </is>
      </c>
      <c r="L39" s="4" t="inlineStr">
        <is>
          <t>15-30</t>
        </is>
      </c>
      <c r="M39" s="4" t="inlineStr">
        <is>
          <t>yes</t>
        </is>
      </c>
      <c r="N39" s="4" t="inlineStr">
        <is>
          <t>rare</t>
        </is>
      </c>
      <c r="O39" s="4" t="inlineStr">
        <is>
          <t>moderate to high</t>
        </is>
      </c>
      <c r="P39" s="4" t="inlineStr">
        <is>
          <t>some strains</t>
        </is>
      </c>
      <c r="Q39" s="4" t="inlineStr">
        <is>
          <t>remove contaminated porous materials; use PPE</t>
        </is>
      </c>
      <c r="R39" s="4" t="inlineStr">
        <is>
          <t>pink_white_growth, cottony_texture</t>
        </is>
      </c>
      <c r="S39" s="4" t="inlineStr">
        <is>
          <t>Fusarium sickle-spore group</t>
        </is>
      </c>
      <c r="T39" s="4" t="inlineStr">
        <is>
          <t>moderate</t>
        </is>
      </c>
      <c r="U39" s="4" t="inlineStr">
        <is>
          <t>toxic + allergenic</t>
        </is>
      </c>
      <c r="V39" s="4" t="inlineStr">
        <is>
          <t>48-72+ hrs after sustained wetting</t>
        </is>
      </c>
      <c r="W39" s="4" t="inlineStr">
        <is>
          <t>surface/bulk + air comparison</t>
        </is>
      </c>
      <c r="X39" s="4" t="inlineStr">
        <is>
          <t>no</t>
        </is>
      </c>
      <c r="Y39" s="4" t="inlineStr">
        <is>
          <t>pink, white, cottony, spreading</t>
        </is>
      </c>
      <c r="Z39" s="4" t="inlineStr">
        <is>
          <t>porous materials preferred; non-porous growth usually on rare</t>
        </is>
      </c>
    </row>
    <row r="40">
      <c r="A40" s="4" t="inlineStr">
        <is>
          <t>Fusarium dimerum</t>
        </is>
      </c>
      <c r="B40" s="4" t="inlineStr">
        <is>
          <t>Fusarium</t>
        </is>
      </c>
      <c r="C40" s="4" t="inlineStr">
        <is>
          <t>Pathogenic / Water damage mold</t>
        </is>
      </c>
      <c r="D40" s="4" t="inlineStr">
        <is>
          <t>pink</t>
        </is>
      </c>
      <c r="E40" s="4" t="inlineStr">
        <is>
          <t>white</t>
        </is>
      </c>
      <c r="F40" s="4" t="inlineStr">
        <is>
          <t>cottony</t>
        </is>
      </c>
      <c r="G40" s="4" t="inlineStr">
        <is>
          <t>spreading</t>
        </is>
      </c>
      <c r="H40" s="4" t="inlineStr">
        <is>
          <t>carpet, wallpaper, wet drywall</t>
        </is>
      </c>
      <c r="I40" s="4" t="inlineStr">
        <is>
          <t>flooded materials, HVAC liners</t>
        </is>
      </c>
      <c r="J40" s="4" t="inlineStr">
        <is>
          <t>high</t>
        </is>
      </c>
      <c r="K40" s="4" t="inlineStr">
        <is>
          <t>70+</t>
        </is>
      </c>
      <c r="L40" s="4" t="inlineStr">
        <is>
          <t>15-30</t>
        </is>
      </c>
      <c r="M40" s="4" t="inlineStr">
        <is>
          <t>yes</t>
        </is>
      </c>
      <c r="N40" s="4" t="inlineStr">
        <is>
          <t>rare</t>
        </is>
      </c>
      <c r="O40" s="4" t="inlineStr">
        <is>
          <t>moderate to high</t>
        </is>
      </c>
      <c r="P40" s="4" t="inlineStr">
        <is>
          <t>some strains</t>
        </is>
      </c>
      <c r="Q40" s="4" t="inlineStr">
        <is>
          <t>remove contaminated porous materials; use PPE</t>
        </is>
      </c>
      <c r="R40" s="4" t="inlineStr">
        <is>
          <t>pink_white_growth, cottony_texture</t>
        </is>
      </c>
      <c r="S40" s="4" t="inlineStr">
        <is>
          <t>Fusarium sickle-spore group</t>
        </is>
      </c>
      <c r="T40" s="4" t="inlineStr">
        <is>
          <t>moderate</t>
        </is>
      </c>
      <c r="U40" s="4" t="inlineStr">
        <is>
          <t>toxic + allergenic</t>
        </is>
      </c>
      <c r="V40" s="4" t="inlineStr">
        <is>
          <t>48-72+ hrs after sustained wetting</t>
        </is>
      </c>
      <c r="W40" s="4" t="inlineStr">
        <is>
          <t>surface/bulk + air comparison</t>
        </is>
      </c>
      <c r="X40" s="4" t="inlineStr">
        <is>
          <t>no</t>
        </is>
      </c>
      <c r="Y40" s="4" t="inlineStr">
        <is>
          <t>pink, white, cottony, spreading</t>
        </is>
      </c>
      <c r="Z40" s="4" t="inlineStr">
        <is>
          <t>porous materials preferred; non-porous growth usually on rare</t>
        </is>
      </c>
    </row>
    <row r="41">
      <c r="A41" s="4" t="inlineStr">
        <is>
          <t>Trichoderma viride</t>
        </is>
      </c>
      <c r="B41" s="4" t="inlineStr">
        <is>
          <t>Trichoderma</t>
        </is>
      </c>
      <c r="C41" s="4" t="inlineStr">
        <is>
          <t>Water damage mold</t>
        </is>
      </c>
      <c r="D41" s="4" t="inlineStr">
        <is>
          <t>bright green</t>
        </is>
      </c>
      <c r="E41" s="4" t="inlineStr">
        <is>
          <t>white</t>
        </is>
      </c>
      <c r="F41" s="4" t="inlineStr">
        <is>
          <t>dense</t>
        </is>
      </c>
      <c r="G41" s="4" t="inlineStr">
        <is>
          <t>patchy</t>
        </is>
      </c>
      <c r="H41" s="4" t="inlineStr">
        <is>
          <t>wet wood, drywall, paper</t>
        </is>
      </c>
      <c r="I41" s="4" t="inlineStr">
        <is>
          <t>leak areas, framing cavities</t>
        </is>
      </c>
      <c r="J41" s="4" t="inlineStr">
        <is>
          <t>high</t>
        </is>
      </c>
      <c r="K41" s="4" t="inlineStr">
        <is>
          <t>70+</t>
        </is>
      </c>
      <c r="L41" s="4" t="inlineStr">
        <is>
          <t>18-32</t>
        </is>
      </c>
      <c r="M41" s="4" t="inlineStr">
        <is>
          <t>yes</t>
        </is>
      </c>
      <c r="N41" s="4" t="inlineStr">
        <is>
          <t>rare</t>
        </is>
      </c>
      <c r="O41" s="4" t="inlineStr">
        <is>
          <t>moderate</t>
        </is>
      </c>
      <c r="P41" s="4" t="inlineStr">
        <is>
          <t>possible</t>
        </is>
      </c>
      <c r="Q41" s="4" t="inlineStr">
        <is>
          <t>remove wet porous materials; dry source</t>
        </is>
      </c>
      <c r="R41" s="4" t="inlineStr">
        <is>
          <t>bright_green_patch, dense_colony</t>
        </is>
      </c>
      <c r="S41" s="4" t="inlineStr">
        <is>
          <t>Aspergillus/Penicillium-like</t>
        </is>
      </c>
      <c r="T41" s="4" t="inlineStr">
        <is>
          <t>moderate</t>
        </is>
      </c>
      <c r="U41" s="4" t="inlineStr">
        <is>
          <t>toxic + allergenic</t>
        </is>
      </c>
      <c r="V41" s="4" t="inlineStr">
        <is>
          <t>48-72+ hrs after sustained wetting</t>
        </is>
      </c>
      <c r="W41" s="4" t="inlineStr">
        <is>
          <t>air + surface/bulk</t>
        </is>
      </c>
      <c r="X41" s="4" t="inlineStr">
        <is>
          <t>yes</t>
        </is>
      </c>
      <c r="Y41" s="4" t="inlineStr">
        <is>
          <t>bright green, white, dense, patchy</t>
        </is>
      </c>
      <c r="Z41" s="4" t="inlineStr">
        <is>
          <t>porous materials preferred; non-porous growth usually on rare</t>
        </is>
      </c>
    </row>
    <row r="42">
      <c r="A42" s="4" t="inlineStr">
        <is>
          <t>Trichoderma harzianum</t>
        </is>
      </c>
      <c r="B42" s="4" t="inlineStr">
        <is>
          <t>Trichoderma</t>
        </is>
      </c>
      <c r="C42" s="4" t="inlineStr">
        <is>
          <t>Water damage mold</t>
        </is>
      </c>
      <c r="D42" s="4" t="inlineStr">
        <is>
          <t>bright green</t>
        </is>
      </c>
      <c r="E42" s="4" t="inlineStr">
        <is>
          <t>white</t>
        </is>
      </c>
      <c r="F42" s="4" t="inlineStr">
        <is>
          <t>dense</t>
        </is>
      </c>
      <c r="G42" s="4" t="inlineStr">
        <is>
          <t>patchy</t>
        </is>
      </c>
      <c r="H42" s="4" t="inlineStr">
        <is>
          <t>wet wood, drywall, paper</t>
        </is>
      </c>
      <c r="I42" s="4" t="inlineStr">
        <is>
          <t>leak areas, framing cavities</t>
        </is>
      </c>
      <c r="J42" s="4" t="inlineStr">
        <is>
          <t>high</t>
        </is>
      </c>
      <c r="K42" s="4" t="inlineStr">
        <is>
          <t>70+</t>
        </is>
      </c>
      <c r="L42" s="4" t="inlineStr">
        <is>
          <t>18-32</t>
        </is>
      </c>
      <c r="M42" s="4" t="inlineStr">
        <is>
          <t>yes</t>
        </is>
      </c>
      <c r="N42" s="4" t="inlineStr">
        <is>
          <t>rare</t>
        </is>
      </c>
      <c r="O42" s="4" t="inlineStr">
        <is>
          <t>moderate</t>
        </is>
      </c>
      <c r="P42" s="4" t="inlineStr">
        <is>
          <t>possible</t>
        </is>
      </c>
      <c r="Q42" s="4" t="inlineStr">
        <is>
          <t>remove wet porous materials; dry source</t>
        </is>
      </c>
      <c r="R42" s="4" t="inlineStr">
        <is>
          <t>bright_green_patch, dense_colony</t>
        </is>
      </c>
      <c r="S42" s="4" t="inlineStr">
        <is>
          <t>Aspergillus/Penicillium-like</t>
        </is>
      </c>
      <c r="T42" s="4" t="inlineStr">
        <is>
          <t>moderate</t>
        </is>
      </c>
      <c r="U42" s="4" t="inlineStr">
        <is>
          <t>toxic + allergenic</t>
        </is>
      </c>
      <c r="V42" s="4" t="inlineStr">
        <is>
          <t>48-72+ hrs after sustained wetting</t>
        </is>
      </c>
      <c r="W42" s="4" t="inlineStr">
        <is>
          <t>air + surface/bulk</t>
        </is>
      </c>
      <c r="X42" s="4" t="inlineStr">
        <is>
          <t>yes</t>
        </is>
      </c>
      <c r="Y42" s="4" t="inlineStr">
        <is>
          <t>bright green, white, dense, patchy</t>
        </is>
      </c>
      <c r="Z42" s="4" t="inlineStr">
        <is>
          <t>porous materials preferred; non-porous growth usually on rare</t>
        </is>
      </c>
    </row>
    <row r="43">
      <c r="A43" s="4" t="inlineStr">
        <is>
          <t>Trichoderma koningii</t>
        </is>
      </c>
      <c r="B43" s="4" t="inlineStr">
        <is>
          <t>Trichoderma</t>
        </is>
      </c>
      <c r="C43" s="4" t="inlineStr">
        <is>
          <t>Water damage mold</t>
        </is>
      </c>
      <c r="D43" s="4" t="inlineStr">
        <is>
          <t>bright green</t>
        </is>
      </c>
      <c r="E43" s="4" t="inlineStr">
        <is>
          <t>white</t>
        </is>
      </c>
      <c r="F43" s="4" t="inlineStr">
        <is>
          <t>dense</t>
        </is>
      </c>
      <c r="G43" s="4" t="inlineStr">
        <is>
          <t>patchy</t>
        </is>
      </c>
      <c r="H43" s="4" t="inlineStr">
        <is>
          <t>wet wood, drywall, paper</t>
        </is>
      </c>
      <c r="I43" s="4" t="inlineStr">
        <is>
          <t>leak areas, framing cavities</t>
        </is>
      </c>
      <c r="J43" s="4" t="inlineStr">
        <is>
          <t>high</t>
        </is>
      </c>
      <c r="K43" s="4" t="inlineStr">
        <is>
          <t>70+</t>
        </is>
      </c>
      <c r="L43" s="4" t="inlineStr">
        <is>
          <t>18-32</t>
        </is>
      </c>
      <c r="M43" s="4" t="inlineStr">
        <is>
          <t>yes</t>
        </is>
      </c>
      <c r="N43" s="4" t="inlineStr">
        <is>
          <t>rare</t>
        </is>
      </c>
      <c r="O43" s="4" t="inlineStr">
        <is>
          <t>moderate</t>
        </is>
      </c>
      <c r="P43" s="4" t="inlineStr">
        <is>
          <t>possible</t>
        </is>
      </c>
      <c r="Q43" s="4" t="inlineStr">
        <is>
          <t>remove wet porous materials; dry source</t>
        </is>
      </c>
      <c r="R43" s="4" t="inlineStr">
        <is>
          <t>bright_green_patch, dense_colony</t>
        </is>
      </c>
      <c r="S43" s="4" t="inlineStr">
        <is>
          <t>Aspergillus/Penicillium-like</t>
        </is>
      </c>
      <c r="T43" s="4" t="inlineStr">
        <is>
          <t>moderate</t>
        </is>
      </c>
      <c r="U43" s="4" t="inlineStr">
        <is>
          <t>toxic + allergenic</t>
        </is>
      </c>
      <c r="V43" s="4" t="inlineStr">
        <is>
          <t>48-72+ hrs after sustained wetting</t>
        </is>
      </c>
      <c r="W43" s="4" t="inlineStr">
        <is>
          <t>air + surface/bulk</t>
        </is>
      </c>
      <c r="X43" s="4" t="inlineStr">
        <is>
          <t>yes</t>
        </is>
      </c>
      <c r="Y43" s="4" t="inlineStr">
        <is>
          <t>bright green, white, dense, patchy</t>
        </is>
      </c>
      <c r="Z43" s="4" t="inlineStr">
        <is>
          <t>porous materials preferred; non-porous growth usually on rare</t>
        </is>
      </c>
    </row>
    <row r="44">
      <c r="A44" s="4" t="inlineStr">
        <is>
          <t>Trichoderma longibrachiatum</t>
        </is>
      </c>
      <c r="B44" s="4" t="inlineStr">
        <is>
          <t>Trichoderma</t>
        </is>
      </c>
      <c r="C44" s="4" t="inlineStr">
        <is>
          <t>Water damage mold</t>
        </is>
      </c>
      <c r="D44" s="4" t="inlineStr">
        <is>
          <t>bright green</t>
        </is>
      </c>
      <c r="E44" s="4" t="inlineStr">
        <is>
          <t>white</t>
        </is>
      </c>
      <c r="F44" s="4" t="inlineStr">
        <is>
          <t>dense</t>
        </is>
      </c>
      <c r="G44" s="4" t="inlineStr">
        <is>
          <t>patchy</t>
        </is>
      </c>
      <c r="H44" s="4" t="inlineStr">
        <is>
          <t>wet wood, drywall, paper</t>
        </is>
      </c>
      <c r="I44" s="4" t="inlineStr">
        <is>
          <t>leak areas, framing cavities</t>
        </is>
      </c>
      <c r="J44" s="4" t="inlineStr">
        <is>
          <t>high</t>
        </is>
      </c>
      <c r="K44" s="4" t="inlineStr">
        <is>
          <t>70+</t>
        </is>
      </c>
      <c r="L44" s="4" t="inlineStr">
        <is>
          <t>18-32</t>
        </is>
      </c>
      <c r="M44" s="4" t="inlineStr">
        <is>
          <t>yes</t>
        </is>
      </c>
      <c r="N44" s="4" t="inlineStr">
        <is>
          <t>rare</t>
        </is>
      </c>
      <c r="O44" s="4" t="inlineStr">
        <is>
          <t>moderate</t>
        </is>
      </c>
      <c r="P44" s="4" t="inlineStr">
        <is>
          <t>possible</t>
        </is>
      </c>
      <c r="Q44" s="4" t="inlineStr">
        <is>
          <t>remove wet porous materials; dry source</t>
        </is>
      </c>
      <c r="R44" s="4" t="inlineStr">
        <is>
          <t>bright_green_patch, dense_colony</t>
        </is>
      </c>
      <c r="S44" s="4" t="inlineStr">
        <is>
          <t>Aspergillus/Penicillium-like</t>
        </is>
      </c>
      <c r="T44" s="4" t="inlineStr">
        <is>
          <t>moderate</t>
        </is>
      </c>
      <c r="U44" s="4" t="inlineStr">
        <is>
          <t>toxic + allergenic</t>
        </is>
      </c>
      <c r="V44" s="4" t="inlineStr">
        <is>
          <t>48-72+ hrs after sustained wetting</t>
        </is>
      </c>
      <c r="W44" s="4" t="inlineStr">
        <is>
          <t>air + surface/bulk</t>
        </is>
      </c>
      <c r="X44" s="4" t="inlineStr">
        <is>
          <t>yes</t>
        </is>
      </c>
      <c r="Y44" s="4" t="inlineStr">
        <is>
          <t>bright green, white, dense, patchy</t>
        </is>
      </c>
      <c r="Z44" s="4" t="inlineStr">
        <is>
          <t>porous materials preferred; non-porous growth usually on rare</t>
        </is>
      </c>
    </row>
    <row r="45">
      <c r="A45" s="4" t="inlineStr">
        <is>
          <t>Aureobasidium pullulans</t>
        </is>
      </c>
      <c r="B45" s="4" t="inlineStr">
        <is>
          <t>Aureobasidium</t>
        </is>
      </c>
      <c r="C45" s="4" t="inlineStr">
        <is>
          <t>Common indoor</t>
        </is>
      </c>
      <c r="D45" s="4" t="inlineStr">
        <is>
          <t>pink</t>
        </is>
      </c>
      <c r="E45" s="4" t="inlineStr">
        <is>
          <t>black</t>
        </is>
      </c>
      <c r="F45" s="4" t="inlineStr">
        <is>
          <t>slimy to smooth</t>
        </is>
      </c>
      <c r="G45" s="4" t="inlineStr">
        <is>
          <t>streaky</t>
        </is>
      </c>
      <c r="H45" s="4" t="inlineStr">
        <is>
          <t>painted wood, caulk</t>
        </is>
      </c>
      <c r="I45" s="4" t="inlineStr">
        <is>
          <t>window frames, bathrooms</t>
        </is>
      </c>
      <c r="J45" s="4" t="inlineStr">
        <is>
          <t>moderate</t>
        </is>
      </c>
      <c r="K45" s="4" t="inlineStr">
        <is>
          <t>65+</t>
        </is>
      </c>
      <c r="L45" s="4" t="inlineStr">
        <is>
          <t>10-35</t>
        </is>
      </c>
      <c r="M45" s="4" t="inlineStr">
        <is>
          <t>yes</t>
        </is>
      </c>
      <c r="N45" s="4" t="inlineStr">
        <is>
          <t>possible</t>
        </is>
      </c>
      <c r="O45" s="4" t="inlineStr">
        <is>
          <t>low to moderate</t>
        </is>
      </c>
      <c r="P45" s="4" t="inlineStr">
        <is>
          <t>no</t>
        </is>
      </c>
      <c r="Q45" s="4" t="inlineStr">
        <is>
          <t>clean with detergent; reduce condensation</t>
        </is>
      </c>
      <c r="R45" s="4" t="inlineStr">
        <is>
          <t>pink_black_streaks, glossy_growth</t>
        </is>
      </c>
      <c r="S45" s="4" t="inlineStr">
        <is>
          <t>Aureobasidium visual group</t>
        </is>
      </c>
      <c r="T45" s="4" t="inlineStr">
        <is>
          <t>moderate</t>
        </is>
      </c>
      <c r="U45" s="4" t="inlineStr">
        <is>
          <t>common indoor / allergen potential</t>
        </is>
      </c>
      <c r="V45" s="4" t="inlineStr">
        <is>
          <t>24-48 hrs with persistent humidity</t>
        </is>
      </c>
      <c r="W45" s="4" t="inlineStr">
        <is>
          <t>air and/or surface depending on context</t>
        </is>
      </c>
      <c r="X45" s="4" t="inlineStr">
        <is>
          <t>no</t>
        </is>
      </c>
      <c r="Y45" s="4" t="inlineStr">
        <is>
          <t>pink, black, slimy to smooth, streaky</t>
        </is>
      </c>
      <c r="Z45" s="4" t="inlineStr">
        <is>
          <t>porous materials preferred; non-porous growth usually on possible</t>
        </is>
      </c>
    </row>
    <row r="46">
      <c r="A46" s="4" t="inlineStr">
        <is>
          <t>Mucor racemosus</t>
        </is>
      </c>
      <c r="B46" s="4" t="inlineStr">
        <is>
          <t>Mucor</t>
        </is>
      </c>
      <c r="C46" s="4" t="inlineStr">
        <is>
          <t>Fast-growing indoor</t>
        </is>
      </c>
      <c r="D46" s="4" t="inlineStr">
        <is>
          <t>white</t>
        </is>
      </c>
      <c r="E46" s="4" t="inlineStr">
        <is>
          <t>gray</t>
        </is>
      </c>
      <c r="F46" s="4" t="inlineStr">
        <is>
          <t>fuzzy</t>
        </is>
      </c>
      <c r="G46" s="4" t="inlineStr">
        <is>
          <t>rapid spreading</t>
        </is>
      </c>
      <c r="H46" s="4" t="inlineStr">
        <is>
          <t>food residue, dust, wet drywall</t>
        </is>
      </c>
      <c r="I46" s="4" t="inlineStr">
        <is>
          <t>kitchens, basements</t>
        </is>
      </c>
      <c r="J46" s="4" t="inlineStr">
        <is>
          <t>high</t>
        </is>
      </c>
      <c r="K46" s="4" t="inlineStr">
        <is>
          <t>70+</t>
        </is>
      </c>
      <c r="L46" s="4" t="inlineStr">
        <is>
          <t>10-30</t>
        </is>
      </c>
      <c r="M46" s="4" t="inlineStr">
        <is>
          <t>yes</t>
        </is>
      </c>
      <c r="N46" s="4" t="inlineStr">
        <is>
          <t>possible via debris</t>
        </is>
      </c>
      <c r="O46" s="4" t="inlineStr">
        <is>
          <t>low to moderate</t>
        </is>
      </c>
      <c r="P46" s="4" t="inlineStr">
        <is>
          <t>no</t>
        </is>
      </c>
      <c r="Q46" s="4" t="inlineStr">
        <is>
          <t>clean and dry promptly; discard heavily colonized materials</t>
        </is>
      </c>
      <c r="R46" s="4" t="inlineStr">
        <is>
          <t>white_fuzzy, rapid_spread</t>
        </is>
      </c>
      <c r="S46" s="4" t="inlineStr">
        <is>
          <t>Zygomycete-like fast-growth group</t>
        </is>
      </c>
      <c r="T46" s="4" t="inlineStr">
        <is>
          <t>high</t>
        </is>
      </c>
      <c r="U46" s="4" t="inlineStr">
        <is>
          <t>allergenic + opportunistic infectious</t>
        </is>
      </c>
      <c r="V46" s="4" t="inlineStr">
        <is>
          <t>48-72+ hrs after sustained wetting</t>
        </is>
      </c>
      <c r="W46" s="4" t="inlineStr">
        <is>
          <t>air and/or surface depending on context</t>
        </is>
      </c>
      <c r="X46" s="4" t="inlineStr">
        <is>
          <t>no</t>
        </is>
      </c>
      <c r="Y46" s="4" t="inlineStr">
        <is>
          <t>white, gray, fuzzy, rapid spreading</t>
        </is>
      </c>
      <c r="Z46" s="4" t="inlineStr">
        <is>
          <t>porous materials preferred; non-porous growth usually on possible via debris</t>
        </is>
      </c>
    </row>
    <row r="47">
      <c r="A47" s="4" t="inlineStr">
        <is>
          <t>Mucor circinelloides</t>
        </is>
      </c>
      <c r="B47" s="4" t="inlineStr">
        <is>
          <t>Mucor</t>
        </is>
      </c>
      <c r="C47" s="4" t="inlineStr">
        <is>
          <t>Fast-growing indoor</t>
        </is>
      </c>
      <c r="D47" s="4" t="inlineStr">
        <is>
          <t>white</t>
        </is>
      </c>
      <c r="E47" s="4" t="inlineStr">
        <is>
          <t>gray</t>
        </is>
      </c>
      <c r="F47" s="4" t="inlineStr">
        <is>
          <t>fuzzy</t>
        </is>
      </c>
      <c r="G47" s="4" t="inlineStr">
        <is>
          <t>rapid spreading</t>
        </is>
      </c>
      <c r="H47" s="4" t="inlineStr">
        <is>
          <t>food residue, dust, wet drywall</t>
        </is>
      </c>
      <c r="I47" s="4" t="inlineStr">
        <is>
          <t>kitchens, basements</t>
        </is>
      </c>
      <c r="J47" s="4" t="inlineStr">
        <is>
          <t>high</t>
        </is>
      </c>
      <c r="K47" s="4" t="inlineStr">
        <is>
          <t>70+</t>
        </is>
      </c>
      <c r="L47" s="4" t="inlineStr">
        <is>
          <t>10-30</t>
        </is>
      </c>
      <c r="M47" s="4" t="inlineStr">
        <is>
          <t>yes</t>
        </is>
      </c>
      <c r="N47" s="4" t="inlineStr">
        <is>
          <t>possible via debris</t>
        </is>
      </c>
      <c r="O47" s="4" t="inlineStr">
        <is>
          <t>low to moderate</t>
        </is>
      </c>
      <c r="P47" s="4" t="inlineStr">
        <is>
          <t>no</t>
        </is>
      </c>
      <c r="Q47" s="4" t="inlineStr">
        <is>
          <t>clean and dry promptly; discard heavily colonized materials</t>
        </is>
      </c>
      <c r="R47" s="4" t="inlineStr">
        <is>
          <t>white_fuzzy, rapid_spread</t>
        </is>
      </c>
      <c r="S47" s="4" t="inlineStr">
        <is>
          <t>Zygomycete-like fast-growth group</t>
        </is>
      </c>
      <c r="T47" s="4" t="inlineStr">
        <is>
          <t>high</t>
        </is>
      </c>
      <c r="U47" s="4" t="inlineStr">
        <is>
          <t>allergenic + opportunistic infectious</t>
        </is>
      </c>
      <c r="V47" s="4" t="inlineStr">
        <is>
          <t>48-72+ hrs after sustained wetting</t>
        </is>
      </c>
      <c r="W47" s="4" t="inlineStr">
        <is>
          <t>air and/or surface depending on context</t>
        </is>
      </c>
      <c r="X47" s="4" t="inlineStr">
        <is>
          <t>no</t>
        </is>
      </c>
      <c r="Y47" s="4" t="inlineStr">
        <is>
          <t>white, gray, fuzzy, rapid spreading</t>
        </is>
      </c>
      <c r="Z47" s="4" t="inlineStr">
        <is>
          <t>porous materials preferred; non-porous growth usually on possible via debris</t>
        </is>
      </c>
    </row>
    <row r="48">
      <c r="A48" s="4" t="inlineStr">
        <is>
          <t>Mucor hiemalis</t>
        </is>
      </c>
      <c r="B48" s="4" t="inlineStr">
        <is>
          <t>Mucor</t>
        </is>
      </c>
      <c r="C48" s="4" t="inlineStr">
        <is>
          <t>Fast-growing indoor</t>
        </is>
      </c>
      <c r="D48" s="4" t="inlineStr">
        <is>
          <t>white</t>
        </is>
      </c>
      <c r="E48" s="4" t="inlineStr">
        <is>
          <t>gray</t>
        </is>
      </c>
      <c r="F48" s="4" t="inlineStr">
        <is>
          <t>fuzzy</t>
        </is>
      </c>
      <c r="G48" s="4" t="inlineStr">
        <is>
          <t>rapid spreading</t>
        </is>
      </c>
      <c r="H48" s="4" t="inlineStr">
        <is>
          <t>food residue, dust, wet drywall</t>
        </is>
      </c>
      <c r="I48" s="4" t="inlineStr">
        <is>
          <t>kitchens, basements</t>
        </is>
      </c>
      <c r="J48" s="4" t="inlineStr">
        <is>
          <t>high</t>
        </is>
      </c>
      <c r="K48" s="4" t="inlineStr">
        <is>
          <t>70+</t>
        </is>
      </c>
      <c r="L48" s="4" t="inlineStr">
        <is>
          <t>10-30</t>
        </is>
      </c>
      <c r="M48" s="4" t="inlineStr">
        <is>
          <t>yes</t>
        </is>
      </c>
      <c r="N48" s="4" t="inlineStr">
        <is>
          <t>possible via debris</t>
        </is>
      </c>
      <c r="O48" s="4" t="inlineStr">
        <is>
          <t>low to moderate</t>
        </is>
      </c>
      <c r="P48" s="4" t="inlineStr">
        <is>
          <t>no</t>
        </is>
      </c>
      <c r="Q48" s="4" t="inlineStr">
        <is>
          <t>clean and dry promptly; discard heavily colonized materials</t>
        </is>
      </c>
      <c r="R48" s="4" t="inlineStr">
        <is>
          <t>white_fuzzy, rapid_spread</t>
        </is>
      </c>
      <c r="S48" s="4" t="inlineStr">
        <is>
          <t>Zygomycete-like fast-growth group</t>
        </is>
      </c>
      <c r="T48" s="4" t="inlineStr">
        <is>
          <t>high</t>
        </is>
      </c>
      <c r="U48" s="4" t="inlineStr">
        <is>
          <t>allergenic + opportunistic infectious</t>
        </is>
      </c>
      <c r="V48" s="4" t="inlineStr">
        <is>
          <t>48-72+ hrs after sustained wetting</t>
        </is>
      </c>
      <c r="W48" s="4" t="inlineStr">
        <is>
          <t>air and/or surface depending on context</t>
        </is>
      </c>
      <c r="X48" s="4" t="inlineStr">
        <is>
          <t>no</t>
        </is>
      </c>
      <c r="Y48" s="4" t="inlineStr">
        <is>
          <t>white, gray, fuzzy, rapid spreading</t>
        </is>
      </c>
      <c r="Z48" s="4" t="inlineStr">
        <is>
          <t>porous materials preferred; non-porous growth usually on possible via debris</t>
        </is>
      </c>
    </row>
    <row r="49">
      <c r="A49" s="4" t="inlineStr">
        <is>
          <t>Rhizopus stolonifer</t>
        </is>
      </c>
      <c r="B49" s="4" t="inlineStr">
        <is>
          <t>Rhizopus</t>
        </is>
      </c>
      <c r="C49" s="4" t="inlineStr">
        <is>
          <t>Fast-growing indoor</t>
        </is>
      </c>
      <c r="D49" s="4" t="inlineStr">
        <is>
          <t>white</t>
        </is>
      </c>
      <c r="E49" s="4" t="inlineStr">
        <is>
          <t>black</t>
        </is>
      </c>
      <c r="F49" s="4" t="inlineStr">
        <is>
          <t>fuzzy</t>
        </is>
      </c>
      <c r="G49" s="4" t="inlineStr">
        <is>
          <t>rapid spreading</t>
        </is>
      </c>
      <c r="H49" s="4" t="inlineStr">
        <is>
          <t>food, dust, damp drywall</t>
        </is>
      </c>
      <c r="I49" s="4" t="inlineStr">
        <is>
          <t>kitchens, trash areas</t>
        </is>
      </c>
      <c r="J49" s="4" t="inlineStr">
        <is>
          <t>high</t>
        </is>
      </c>
      <c r="K49" s="4" t="inlineStr">
        <is>
          <t>70+</t>
        </is>
      </c>
      <c r="L49" s="4" t="inlineStr">
        <is>
          <t>15-32</t>
        </is>
      </c>
      <c r="M49" s="4" t="inlineStr">
        <is>
          <t>yes</t>
        </is>
      </c>
      <c r="N49" s="4" t="inlineStr">
        <is>
          <t>possible via debris</t>
        </is>
      </c>
      <c r="O49" s="4" t="inlineStr">
        <is>
          <t>low to moderate</t>
        </is>
      </c>
      <c r="P49" s="4" t="inlineStr">
        <is>
          <t>no</t>
        </is>
      </c>
      <c r="Q49" s="4" t="inlineStr">
        <is>
          <t>remove source debris and dry area</t>
        </is>
      </c>
      <c r="R49" s="4" t="inlineStr">
        <is>
          <t>black_heads, fuzzy_mat</t>
        </is>
      </c>
      <c r="S49" s="4" t="inlineStr">
        <is>
          <t>Zygomycete-like fast-growth group</t>
        </is>
      </c>
      <c r="T49" s="4" t="inlineStr">
        <is>
          <t>high</t>
        </is>
      </c>
      <c r="U49" s="4" t="inlineStr">
        <is>
          <t>allergenic + opportunistic infectious</t>
        </is>
      </c>
      <c r="V49" s="4" t="inlineStr">
        <is>
          <t>48-72+ hrs after sustained wetting</t>
        </is>
      </c>
      <c r="W49" s="4" t="inlineStr">
        <is>
          <t>air and/or surface depending on context</t>
        </is>
      </c>
      <c r="X49" s="4" t="inlineStr">
        <is>
          <t>no</t>
        </is>
      </c>
      <c r="Y49" s="4" t="inlineStr">
        <is>
          <t>white, black, fuzzy, rapid spreading</t>
        </is>
      </c>
      <c r="Z49" s="4" t="inlineStr">
        <is>
          <t>porous materials preferred; non-porous growth usually on possible via debris</t>
        </is>
      </c>
    </row>
    <row r="50">
      <c r="A50" s="4" t="inlineStr">
        <is>
          <t>Rhizopus arrhizus</t>
        </is>
      </c>
      <c r="B50" s="4" t="inlineStr">
        <is>
          <t>Rhizopus</t>
        </is>
      </c>
      <c r="C50" s="4" t="inlineStr">
        <is>
          <t>Fast-growing indoor</t>
        </is>
      </c>
      <c r="D50" s="4" t="inlineStr">
        <is>
          <t>white</t>
        </is>
      </c>
      <c r="E50" s="4" t="inlineStr">
        <is>
          <t>black</t>
        </is>
      </c>
      <c r="F50" s="4" t="inlineStr">
        <is>
          <t>fuzzy</t>
        </is>
      </c>
      <c r="G50" s="4" t="inlineStr">
        <is>
          <t>rapid spreading</t>
        </is>
      </c>
      <c r="H50" s="4" t="inlineStr">
        <is>
          <t>food, dust, damp drywall</t>
        </is>
      </c>
      <c r="I50" s="4" t="inlineStr">
        <is>
          <t>kitchens, trash areas</t>
        </is>
      </c>
      <c r="J50" s="4" t="inlineStr">
        <is>
          <t>high</t>
        </is>
      </c>
      <c r="K50" s="4" t="inlineStr">
        <is>
          <t>70+</t>
        </is>
      </c>
      <c r="L50" s="4" t="inlineStr">
        <is>
          <t>15-32</t>
        </is>
      </c>
      <c r="M50" s="4" t="inlineStr">
        <is>
          <t>yes</t>
        </is>
      </c>
      <c r="N50" s="4" t="inlineStr">
        <is>
          <t>possible via debris</t>
        </is>
      </c>
      <c r="O50" s="4" t="inlineStr">
        <is>
          <t>low to moderate</t>
        </is>
      </c>
      <c r="P50" s="4" t="inlineStr">
        <is>
          <t>no</t>
        </is>
      </c>
      <c r="Q50" s="4" t="inlineStr">
        <is>
          <t>remove source debris and dry area</t>
        </is>
      </c>
      <c r="R50" s="4" t="inlineStr">
        <is>
          <t>black_heads, fuzzy_mat</t>
        </is>
      </c>
      <c r="S50" s="4" t="inlineStr">
        <is>
          <t>Zygomycete-like fast-growth group</t>
        </is>
      </c>
      <c r="T50" s="4" t="inlineStr">
        <is>
          <t>high</t>
        </is>
      </c>
      <c r="U50" s="4" t="inlineStr">
        <is>
          <t>allergenic + opportunistic infectious</t>
        </is>
      </c>
      <c r="V50" s="4" t="inlineStr">
        <is>
          <t>48-72+ hrs after sustained wetting</t>
        </is>
      </c>
      <c r="W50" s="4" t="inlineStr">
        <is>
          <t>air and/or surface depending on context</t>
        </is>
      </c>
      <c r="X50" s="4" t="inlineStr">
        <is>
          <t>no</t>
        </is>
      </c>
      <c r="Y50" s="4" t="inlineStr">
        <is>
          <t>white, black, fuzzy, rapid spreading</t>
        </is>
      </c>
      <c r="Z50" s="4" t="inlineStr">
        <is>
          <t>porous materials preferred; non-porous growth usually on possible via debris</t>
        </is>
      </c>
    </row>
    <row r="51">
      <c r="A51" s="4" t="inlineStr">
        <is>
          <t>Epicoccum nigrum</t>
        </is>
      </c>
      <c r="B51" s="4" t="inlineStr">
        <is>
          <t>Epicoccum</t>
        </is>
      </c>
      <c r="C51" s="4" t="inlineStr">
        <is>
          <t>Allergenic</t>
        </is>
      </c>
      <c r="D51" s="4" t="inlineStr">
        <is>
          <t>orange</t>
        </is>
      </c>
      <c r="E51" s="4" t="inlineStr">
        <is>
          <t>brown</t>
        </is>
      </c>
      <c r="F51" s="4" t="inlineStr">
        <is>
          <t>powdery</t>
        </is>
      </c>
      <c r="G51" s="4" t="inlineStr">
        <is>
          <t>spotty</t>
        </is>
      </c>
      <c r="H51" s="4" t="inlineStr">
        <is>
          <t>painted surfaces, textiles</t>
        </is>
      </c>
      <c r="I51" s="4" t="inlineStr">
        <is>
          <t>window frames, damp rooms</t>
        </is>
      </c>
      <c r="J51" s="4" t="inlineStr">
        <is>
          <t>moderate</t>
        </is>
      </c>
      <c r="K51" s="4" t="inlineStr">
        <is>
          <t>65+</t>
        </is>
      </c>
      <c r="L51" s="4" t="inlineStr">
        <is>
          <t>15-30</t>
        </is>
      </c>
      <c r="M51" s="4" t="inlineStr">
        <is>
          <t>yes</t>
        </is>
      </c>
      <c r="N51" s="4" t="inlineStr">
        <is>
          <t>possible</t>
        </is>
      </c>
      <c r="O51" s="4" t="inlineStr">
        <is>
          <t>low to moderate</t>
        </is>
      </c>
      <c r="P51" s="4" t="inlineStr">
        <is>
          <t>possible</t>
        </is>
      </c>
      <c r="Q51" s="4" t="inlineStr">
        <is>
          <t>clean lightly affected surfaces and reduce humidity</t>
        </is>
      </c>
      <c r="R51" s="4" t="inlineStr">
        <is>
          <t>orange_spots, small_round_colonies</t>
        </is>
      </c>
      <c r="S51" s="4" t="inlineStr">
        <is>
          <t>Epicoccum visual group</t>
        </is>
      </c>
      <c r="T51" s="4" t="inlineStr">
        <is>
          <t>moderate</t>
        </is>
      </c>
      <c r="U51" s="4" t="inlineStr">
        <is>
          <t>allergenic</t>
        </is>
      </c>
      <c r="V51" s="4" t="inlineStr">
        <is>
          <t>24-48 hrs with persistent humidity</t>
        </is>
      </c>
      <c r="W51" s="4" t="inlineStr">
        <is>
          <t>air and/or surface depending on context</t>
        </is>
      </c>
      <c r="X51" s="4" t="inlineStr">
        <is>
          <t>no</t>
        </is>
      </c>
      <c r="Y51" s="4" t="inlineStr">
        <is>
          <t>orange, brown, powdery, spotty</t>
        </is>
      </c>
      <c r="Z51" s="4" t="inlineStr">
        <is>
          <t>porous materials preferred; non-porous growth usually on possible</t>
        </is>
      </c>
    </row>
    <row r="52">
      <c r="A52" s="4" t="inlineStr">
        <is>
          <t>Epicoccum sorghinum</t>
        </is>
      </c>
      <c r="B52" s="4" t="inlineStr">
        <is>
          <t>Epicoccum</t>
        </is>
      </c>
      <c r="C52" s="4" t="inlineStr">
        <is>
          <t>Allergenic</t>
        </is>
      </c>
      <c r="D52" s="4" t="inlineStr">
        <is>
          <t>orange</t>
        </is>
      </c>
      <c r="E52" s="4" t="inlineStr">
        <is>
          <t>brown</t>
        </is>
      </c>
      <c r="F52" s="4" t="inlineStr">
        <is>
          <t>powdery</t>
        </is>
      </c>
      <c r="G52" s="4" t="inlineStr">
        <is>
          <t>spotty</t>
        </is>
      </c>
      <c r="H52" s="4" t="inlineStr">
        <is>
          <t>painted surfaces, textiles</t>
        </is>
      </c>
      <c r="I52" s="4" t="inlineStr">
        <is>
          <t>window frames, damp rooms</t>
        </is>
      </c>
      <c r="J52" s="4" t="inlineStr">
        <is>
          <t>moderate</t>
        </is>
      </c>
      <c r="K52" s="4" t="inlineStr">
        <is>
          <t>65+</t>
        </is>
      </c>
      <c r="L52" s="4" t="inlineStr">
        <is>
          <t>15-30</t>
        </is>
      </c>
      <c r="M52" s="4" t="inlineStr">
        <is>
          <t>yes</t>
        </is>
      </c>
      <c r="N52" s="4" t="inlineStr">
        <is>
          <t>possible</t>
        </is>
      </c>
      <c r="O52" s="4" t="inlineStr">
        <is>
          <t>low to moderate</t>
        </is>
      </c>
      <c r="P52" s="4" t="inlineStr">
        <is>
          <t>possible</t>
        </is>
      </c>
      <c r="Q52" s="4" t="inlineStr">
        <is>
          <t>clean lightly affected surfaces and reduce humidity</t>
        </is>
      </c>
      <c r="R52" s="4" t="inlineStr">
        <is>
          <t>orange_spots, small_round_colonies</t>
        </is>
      </c>
      <c r="S52" s="4" t="inlineStr">
        <is>
          <t>Epicoccum visual group</t>
        </is>
      </c>
      <c r="T52" s="4" t="inlineStr">
        <is>
          <t>moderate</t>
        </is>
      </c>
      <c r="U52" s="4" t="inlineStr">
        <is>
          <t>allergenic</t>
        </is>
      </c>
      <c r="V52" s="4" t="inlineStr">
        <is>
          <t>24-48 hrs with persistent humidity</t>
        </is>
      </c>
      <c r="W52" s="4" t="inlineStr">
        <is>
          <t>air and/or surface depending on context</t>
        </is>
      </c>
      <c r="X52" s="4" t="inlineStr">
        <is>
          <t>no</t>
        </is>
      </c>
      <c r="Y52" s="4" t="inlineStr">
        <is>
          <t>orange, brown, powdery, spotty</t>
        </is>
      </c>
      <c r="Z52" s="4" t="inlineStr">
        <is>
          <t>porous materials preferred; non-porous growth usually on possible</t>
        </is>
      </c>
    </row>
    <row r="53">
      <c r="A53" s="4" t="inlineStr">
        <is>
          <t>Curvularia lunata</t>
        </is>
      </c>
      <c r="B53" s="4" t="inlineStr">
        <is>
          <t>Curvularia</t>
        </is>
      </c>
      <c r="C53" s="4" t="inlineStr">
        <is>
          <t>Allergenic</t>
        </is>
      </c>
      <c r="D53" s="4" t="inlineStr">
        <is>
          <t>dark brown</t>
        </is>
      </c>
      <c r="E53" s="4" t="inlineStr">
        <is>
          <t>black</t>
        </is>
      </c>
      <c r="F53" s="4" t="inlineStr">
        <is>
          <t>velvety</t>
        </is>
      </c>
      <c r="G53" s="4" t="inlineStr">
        <is>
          <t>irregular</t>
        </is>
      </c>
      <c r="H53" s="4" t="inlineStr">
        <is>
          <t>textiles, drywall, dust</t>
        </is>
      </c>
      <c r="I53" s="4" t="inlineStr">
        <is>
          <t>HVAC, damp rooms</t>
        </is>
      </c>
      <c r="J53" s="4" t="inlineStr">
        <is>
          <t>moderate</t>
        </is>
      </c>
      <c r="K53" s="4" t="inlineStr">
        <is>
          <t>65+</t>
        </is>
      </c>
      <c r="L53" s="4" t="inlineStr">
        <is>
          <t>18-32</t>
        </is>
      </c>
      <c r="M53" s="4" t="inlineStr">
        <is>
          <t>yes</t>
        </is>
      </c>
      <c r="N53" s="4" t="inlineStr">
        <is>
          <t>possible via dust</t>
        </is>
      </c>
      <c r="O53" s="4" t="inlineStr">
        <is>
          <t>moderate</t>
        </is>
      </c>
      <c r="P53" s="4" t="inlineStr">
        <is>
          <t>possible</t>
        </is>
      </c>
      <c r="Q53" s="4" t="inlineStr">
        <is>
          <t>clean and dry; HEPA dust removal</t>
        </is>
      </c>
      <c r="R53" s="4" t="inlineStr">
        <is>
          <t>dark_irregular, velvet_texture</t>
        </is>
      </c>
      <c r="S53" s="4" t="inlineStr">
        <is>
          <t>Curvularia visual group</t>
        </is>
      </c>
      <c r="T53" s="4" t="inlineStr">
        <is>
          <t>moderate</t>
        </is>
      </c>
      <c r="U53" s="4" t="inlineStr">
        <is>
          <t>allergenic + opportunistic infectious</t>
        </is>
      </c>
      <c r="V53" s="4" t="inlineStr">
        <is>
          <t>24-48 hrs with persistent humidity</t>
        </is>
      </c>
      <c r="W53" s="4" t="inlineStr">
        <is>
          <t>air and/or surface depending on context</t>
        </is>
      </c>
      <c r="X53" s="4" t="inlineStr">
        <is>
          <t>no</t>
        </is>
      </c>
      <c r="Y53" s="4" t="inlineStr">
        <is>
          <t>dark brown, black, velvety, irregular</t>
        </is>
      </c>
      <c r="Z53" s="4" t="inlineStr">
        <is>
          <t>porous materials preferred; non-porous growth usually on possible via dust</t>
        </is>
      </c>
    </row>
    <row r="54">
      <c r="A54" s="4" t="inlineStr">
        <is>
          <t>Curvularia geniculata</t>
        </is>
      </c>
      <c r="B54" s="4" t="inlineStr">
        <is>
          <t>Curvularia</t>
        </is>
      </c>
      <c r="C54" s="4" t="inlineStr">
        <is>
          <t>Allergenic</t>
        </is>
      </c>
      <c r="D54" s="4" t="inlineStr">
        <is>
          <t>dark brown</t>
        </is>
      </c>
      <c r="E54" s="4" t="inlineStr">
        <is>
          <t>black</t>
        </is>
      </c>
      <c r="F54" s="4" t="inlineStr">
        <is>
          <t>velvety</t>
        </is>
      </c>
      <c r="G54" s="4" t="inlineStr">
        <is>
          <t>irregular</t>
        </is>
      </c>
      <c r="H54" s="4" t="inlineStr">
        <is>
          <t>textiles, drywall, dust</t>
        </is>
      </c>
      <c r="I54" s="4" t="inlineStr">
        <is>
          <t>HVAC, damp rooms</t>
        </is>
      </c>
      <c r="J54" s="4" t="inlineStr">
        <is>
          <t>moderate</t>
        </is>
      </c>
      <c r="K54" s="4" t="inlineStr">
        <is>
          <t>65+</t>
        </is>
      </c>
      <c r="L54" s="4" t="inlineStr">
        <is>
          <t>18-32</t>
        </is>
      </c>
      <c r="M54" s="4" t="inlineStr">
        <is>
          <t>yes</t>
        </is>
      </c>
      <c r="N54" s="4" t="inlineStr">
        <is>
          <t>possible via dust</t>
        </is>
      </c>
      <c r="O54" s="4" t="inlineStr">
        <is>
          <t>moderate</t>
        </is>
      </c>
      <c r="P54" s="4" t="inlineStr">
        <is>
          <t>possible</t>
        </is>
      </c>
      <c r="Q54" s="4" t="inlineStr">
        <is>
          <t>clean and dry; HEPA dust removal</t>
        </is>
      </c>
      <c r="R54" s="4" t="inlineStr">
        <is>
          <t>dark_irregular, velvet_texture</t>
        </is>
      </c>
      <c r="S54" s="4" t="inlineStr">
        <is>
          <t>Curvularia visual group</t>
        </is>
      </c>
      <c r="T54" s="4" t="inlineStr">
        <is>
          <t>moderate</t>
        </is>
      </c>
      <c r="U54" s="4" t="inlineStr">
        <is>
          <t>allergenic + opportunistic infectious</t>
        </is>
      </c>
      <c r="V54" s="4" t="inlineStr">
        <is>
          <t>24-48 hrs with persistent humidity</t>
        </is>
      </c>
      <c r="W54" s="4" t="inlineStr">
        <is>
          <t>air and/or surface depending on context</t>
        </is>
      </c>
      <c r="X54" s="4" t="inlineStr">
        <is>
          <t>no</t>
        </is>
      </c>
      <c r="Y54" s="4" t="inlineStr">
        <is>
          <t>dark brown, black, velvety, irregular</t>
        </is>
      </c>
      <c r="Z54" s="4" t="inlineStr">
        <is>
          <t>porous materials preferred; non-porous growth usually on possible via dust</t>
        </is>
      </c>
    </row>
    <row r="55">
      <c r="A55" s="4" t="inlineStr">
        <is>
          <t>Nigrospora oryzae</t>
        </is>
      </c>
      <c r="B55" s="4" t="inlineStr">
        <is>
          <t>Nigrospora</t>
        </is>
      </c>
      <c r="C55" s="4" t="inlineStr">
        <is>
          <t>Common indoor</t>
        </is>
      </c>
      <c r="D55" s="4" t="inlineStr">
        <is>
          <t>black</t>
        </is>
      </c>
      <c r="E55" s="4" t="inlineStr">
        <is>
          <t>gray</t>
        </is>
      </c>
      <c r="F55" s="4" t="inlineStr">
        <is>
          <t>powdery</t>
        </is>
      </c>
      <c r="G55" s="4" t="inlineStr">
        <is>
          <t>spotty</t>
        </is>
      </c>
      <c r="H55" s="4" t="inlineStr">
        <is>
          <t>plant debris, drywall</t>
        </is>
      </c>
      <c r="I55" s="4" t="inlineStr">
        <is>
          <t>window areas, storage</t>
        </is>
      </c>
      <c r="J55" s="4" t="inlineStr">
        <is>
          <t>moderate</t>
        </is>
      </c>
      <c r="K55" s="4" t="inlineStr">
        <is>
          <t>60+</t>
        </is>
      </c>
      <c r="L55" s="4" t="inlineStr">
        <is>
          <t>18-30</t>
        </is>
      </c>
      <c r="M55" s="4" t="inlineStr">
        <is>
          <t>yes</t>
        </is>
      </c>
      <c r="N55" s="4" t="inlineStr">
        <is>
          <t>possible via dust</t>
        </is>
      </c>
      <c r="O55" s="4" t="inlineStr">
        <is>
          <t>low</t>
        </is>
      </c>
      <c r="P55" s="4" t="inlineStr">
        <is>
          <t>rare</t>
        </is>
      </c>
      <c r="Q55" s="4" t="inlineStr">
        <is>
          <t>remove debris and clean surfaces</t>
        </is>
      </c>
      <c r="R55" s="4" t="inlineStr">
        <is>
          <t>black_spots, dust_like</t>
        </is>
      </c>
      <c r="S55" s="4" t="inlineStr">
        <is>
          <t>Nigrospora visual group</t>
        </is>
      </c>
      <c r="T55" s="4" t="inlineStr">
        <is>
          <t>moderate</t>
        </is>
      </c>
      <c r="U55" s="4" t="inlineStr">
        <is>
          <t>common indoor / allergen potential</t>
        </is>
      </c>
      <c r="V55" s="4" t="inlineStr">
        <is>
          <t>24-48 hrs with persistent humidity</t>
        </is>
      </c>
      <c r="W55" s="4" t="inlineStr">
        <is>
          <t>air and/or surface depending on context</t>
        </is>
      </c>
      <c r="X55" s="4" t="inlineStr">
        <is>
          <t>no</t>
        </is>
      </c>
      <c r="Y55" s="4" t="inlineStr">
        <is>
          <t>black, gray, powdery, spotty</t>
        </is>
      </c>
      <c r="Z55" s="4" t="inlineStr">
        <is>
          <t>porous materials preferred; non-porous growth usually on possible via dust</t>
        </is>
      </c>
    </row>
    <row r="56">
      <c r="A56" s="4" t="inlineStr">
        <is>
          <t>Nigrospora sphaerica</t>
        </is>
      </c>
      <c r="B56" s="4" t="inlineStr">
        <is>
          <t>Nigrospora</t>
        </is>
      </c>
      <c r="C56" s="4" t="inlineStr">
        <is>
          <t>Common indoor</t>
        </is>
      </c>
      <c r="D56" s="4" t="inlineStr">
        <is>
          <t>black</t>
        </is>
      </c>
      <c r="E56" s="4" t="inlineStr">
        <is>
          <t>gray</t>
        </is>
      </c>
      <c r="F56" s="4" t="inlineStr">
        <is>
          <t>powdery</t>
        </is>
      </c>
      <c r="G56" s="4" t="inlineStr">
        <is>
          <t>spotty</t>
        </is>
      </c>
      <c r="H56" s="4" t="inlineStr">
        <is>
          <t>plant debris, drywall</t>
        </is>
      </c>
      <c r="I56" s="4" t="inlineStr">
        <is>
          <t>window areas, storage</t>
        </is>
      </c>
      <c r="J56" s="4" t="inlineStr">
        <is>
          <t>moderate</t>
        </is>
      </c>
      <c r="K56" s="4" t="inlineStr">
        <is>
          <t>60+</t>
        </is>
      </c>
      <c r="L56" s="4" t="inlineStr">
        <is>
          <t>18-30</t>
        </is>
      </c>
      <c r="M56" s="4" t="inlineStr">
        <is>
          <t>yes</t>
        </is>
      </c>
      <c r="N56" s="4" t="inlineStr">
        <is>
          <t>possible via dust</t>
        </is>
      </c>
      <c r="O56" s="4" t="inlineStr">
        <is>
          <t>low</t>
        </is>
      </c>
      <c r="P56" s="4" t="inlineStr">
        <is>
          <t>rare</t>
        </is>
      </c>
      <c r="Q56" s="4" t="inlineStr">
        <is>
          <t>remove debris and clean surfaces</t>
        </is>
      </c>
      <c r="R56" s="4" t="inlineStr">
        <is>
          <t>black_spots, dust_like</t>
        </is>
      </c>
      <c r="S56" s="4" t="inlineStr">
        <is>
          <t>Nigrospora visual group</t>
        </is>
      </c>
      <c r="T56" s="4" t="inlineStr">
        <is>
          <t>moderate</t>
        </is>
      </c>
      <c r="U56" s="4" t="inlineStr">
        <is>
          <t>common indoor / allergen potential</t>
        </is>
      </c>
      <c r="V56" s="4" t="inlineStr">
        <is>
          <t>24-48 hrs with persistent humidity</t>
        </is>
      </c>
      <c r="W56" s="4" t="inlineStr">
        <is>
          <t>air and/or surface depending on context</t>
        </is>
      </c>
      <c r="X56" s="4" t="inlineStr">
        <is>
          <t>no</t>
        </is>
      </c>
      <c r="Y56" s="4" t="inlineStr">
        <is>
          <t>black, gray, powdery, spotty</t>
        </is>
      </c>
      <c r="Z56" s="4" t="inlineStr">
        <is>
          <t>porous materials preferred; non-porous growth usually on possible via dust</t>
        </is>
      </c>
    </row>
    <row r="57">
      <c r="A57" s="4" t="inlineStr">
        <is>
          <t>Phoma herbarum</t>
        </is>
      </c>
      <c r="B57" s="4" t="inlineStr">
        <is>
          <t>Phoma</t>
        </is>
      </c>
      <c r="C57" s="4" t="inlineStr">
        <is>
          <t>Water damage mold</t>
        </is>
      </c>
      <c r="D57" s="4" t="inlineStr">
        <is>
          <t>olive brown</t>
        </is>
      </c>
      <c r="E57" s="4" t="inlineStr">
        <is>
          <t>black</t>
        </is>
      </c>
      <c r="F57" s="4" t="inlineStr">
        <is>
          <t>powdery</t>
        </is>
      </c>
      <c r="G57" s="4" t="inlineStr">
        <is>
          <t>patchy</t>
        </is>
      </c>
      <c r="H57" s="4" t="inlineStr">
        <is>
          <t>paint, paper, drywall</t>
        </is>
      </c>
      <c r="I57" s="4" t="inlineStr">
        <is>
          <t>wet walls, window frames</t>
        </is>
      </c>
      <c r="J57" s="4" t="inlineStr">
        <is>
          <t>moderate to high</t>
        </is>
      </c>
      <c r="K57" s="4" t="inlineStr">
        <is>
          <t>65+</t>
        </is>
      </c>
      <c r="L57" s="4" t="inlineStr">
        <is>
          <t>10-30</t>
        </is>
      </c>
      <c r="M57" s="4" t="inlineStr">
        <is>
          <t>yes</t>
        </is>
      </c>
      <c r="N57" s="4" t="inlineStr">
        <is>
          <t>possible on painted surfaces</t>
        </is>
      </c>
      <c r="O57" s="4" t="inlineStr">
        <is>
          <t>moderate</t>
        </is>
      </c>
      <c r="P57" s="4" t="inlineStr">
        <is>
          <t>possible</t>
        </is>
      </c>
      <c r="Q57" s="4" t="inlineStr">
        <is>
          <t>clean light growth; remove damaged porous materials if persistent</t>
        </is>
      </c>
      <c r="R57" s="4" t="inlineStr">
        <is>
          <t>olive_black_patch, moisture_halo</t>
        </is>
      </c>
      <c r="S57" s="4" t="inlineStr">
        <is>
          <t>Phoma visual group</t>
        </is>
      </c>
      <c r="T57" s="4" t="inlineStr">
        <is>
          <t>moderate</t>
        </is>
      </c>
      <c r="U57" s="4" t="inlineStr">
        <is>
          <t>common indoor / allergen potential</t>
        </is>
      </c>
      <c r="V57" s="4" t="inlineStr">
        <is>
          <t>48-72+ hrs after sustained wetting</t>
        </is>
      </c>
      <c r="W57" s="4" t="inlineStr">
        <is>
          <t>surface/bulk + air comparison</t>
        </is>
      </c>
      <c r="X57" s="4" t="inlineStr">
        <is>
          <t>no</t>
        </is>
      </c>
      <c r="Y57" s="4" t="inlineStr">
        <is>
          <t>olive brown, black, powdery, patchy</t>
        </is>
      </c>
      <c r="Z57" s="4" t="inlineStr">
        <is>
          <t>porous materials preferred; non-porous growth usually on possible on painted surfaces</t>
        </is>
      </c>
    </row>
    <row r="58">
      <c r="A58" s="4" t="inlineStr">
        <is>
          <t>Phoma glomerata</t>
        </is>
      </c>
      <c r="B58" s="4" t="inlineStr">
        <is>
          <t>Phoma</t>
        </is>
      </c>
      <c r="C58" s="4" t="inlineStr">
        <is>
          <t>Water damage mold</t>
        </is>
      </c>
      <c r="D58" s="4" t="inlineStr">
        <is>
          <t>olive brown</t>
        </is>
      </c>
      <c r="E58" s="4" t="inlineStr">
        <is>
          <t>black</t>
        </is>
      </c>
      <c r="F58" s="4" t="inlineStr">
        <is>
          <t>powdery</t>
        </is>
      </c>
      <c r="G58" s="4" t="inlineStr">
        <is>
          <t>patchy</t>
        </is>
      </c>
      <c r="H58" s="4" t="inlineStr">
        <is>
          <t>paint, paper, drywall</t>
        </is>
      </c>
      <c r="I58" s="4" t="inlineStr">
        <is>
          <t>wet walls, window frames</t>
        </is>
      </c>
      <c r="J58" s="4" t="inlineStr">
        <is>
          <t>moderate to high</t>
        </is>
      </c>
      <c r="K58" s="4" t="inlineStr">
        <is>
          <t>65+</t>
        </is>
      </c>
      <c r="L58" s="4" t="inlineStr">
        <is>
          <t>10-30</t>
        </is>
      </c>
      <c r="M58" s="4" t="inlineStr">
        <is>
          <t>yes</t>
        </is>
      </c>
      <c r="N58" s="4" t="inlineStr">
        <is>
          <t>possible on painted surfaces</t>
        </is>
      </c>
      <c r="O58" s="4" t="inlineStr">
        <is>
          <t>moderate</t>
        </is>
      </c>
      <c r="P58" s="4" t="inlineStr">
        <is>
          <t>possible</t>
        </is>
      </c>
      <c r="Q58" s="4" t="inlineStr">
        <is>
          <t>clean light growth; remove damaged porous materials if persistent</t>
        </is>
      </c>
      <c r="R58" s="4" t="inlineStr">
        <is>
          <t>olive_black_patch, moisture_halo</t>
        </is>
      </c>
      <c r="S58" s="4" t="inlineStr">
        <is>
          <t>Phoma visual group</t>
        </is>
      </c>
      <c r="T58" s="4" t="inlineStr">
        <is>
          <t>moderate</t>
        </is>
      </c>
      <c r="U58" s="4" t="inlineStr">
        <is>
          <t>common indoor / allergen potential</t>
        </is>
      </c>
      <c r="V58" s="4" t="inlineStr">
        <is>
          <t>48-72+ hrs after sustained wetting</t>
        </is>
      </c>
      <c r="W58" s="4" t="inlineStr">
        <is>
          <t>surface/bulk + air comparison</t>
        </is>
      </c>
      <c r="X58" s="4" t="inlineStr">
        <is>
          <t>no</t>
        </is>
      </c>
      <c r="Y58" s="4" t="inlineStr">
        <is>
          <t>olive brown, black, powdery, patchy</t>
        </is>
      </c>
      <c r="Z58" s="4" t="inlineStr">
        <is>
          <t>porous materials preferred; non-porous growth usually on possible on painted surfaces</t>
        </is>
      </c>
    </row>
    <row r="59">
      <c r="A59" s="4" t="inlineStr">
        <is>
          <t>Stemphylium botryosum</t>
        </is>
      </c>
      <c r="B59" s="4" t="inlineStr">
        <is>
          <t>Stemphylium</t>
        </is>
      </c>
      <c r="C59" s="4" t="inlineStr">
        <is>
          <t>Allergenic</t>
        </is>
      </c>
      <c r="D59" s="4" t="inlineStr">
        <is>
          <t>brown</t>
        </is>
      </c>
      <c r="E59" s="4" t="inlineStr">
        <is>
          <t>olive</t>
        </is>
      </c>
      <c r="F59" s="4" t="inlineStr">
        <is>
          <t>velvety</t>
        </is>
      </c>
      <c r="G59" s="4" t="inlineStr">
        <is>
          <t>patchy</t>
        </is>
      </c>
      <c r="H59" s="4" t="inlineStr">
        <is>
          <t>window trim, drywall</t>
        </is>
      </c>
      <c r="I59" s="4" t="inlineStr">
        <is>
          <t>condensation-prone areas</t>
        </is>
      </c>
      <c r="J59" s="4" t="inlineStr">
        <is>
          <t>moderate</t>
        </is>
      </c>
      <c r="K59" s="4" t="inlineStr">
        <is>
          <t>65+</t>
        </is>
      </c>
      <c r="L59" s="4" t="inlineStr">
        <is>
          <t>18-30</t>
        </is>
      </c>
      <c r="M59" s="4" t="inlineStr">
        <is>
          <t>yes</t>
        </is>
      </c>
      <c r="N59" s="4" t="inlineStr">
        <is>
          <t>possible</t>
        </is>
      </c>
      <c r="O59" s="4" t="inlineStr">
        <is>
          <t>low to moderate</t>
        </is>
      </c>
      <c r="P59" s="4" t="inlineStr">
        <is>
          <t>possible</t>
        </is>
      </c>
      <c r="Q59" s="4" t="inlineStr">
        <is>
          <t>clean and manage humidity</t>
        </is>
      </c>
      <c r="R59" s="4" t="inlineStr">
        <is>
          <t>brown_patch, velvety_surface</t>
        </is>
      </c>
      <c r="S59" s="4" t="inlineStr">
        <is>
          <t>Dark multicellular spore group</t>
        </is>
      </c>
      <c r="T59" s="4" t="inlineStr">
        <is>
          <t>moderate</t>
        </is>
      </c>
      <c r="U59" s="4" t="inlineStr">
        <is>
          <t>allergenic</t>
        </is>
      </c>
      <c r="V59" s="4" t="inlineStr">
        <is>
          <t>24-48 hrs with persistent humidity</t>
        </is>
      </c>
      <c r="W59" s="4" t="inlineStr">
        <is>
          <t>air and/or surface depending on context</t>
        </is>
      </c>
      <c r="X59" s="4" t="inlineStr">
        <is>
          <t>yes</t>
        </is>
      </c>
      <c r="Y59" s="4" t="inlineStr">
        <is>
          <t>brown, olive, velvety, patchy</t>
        </is>
      </c>
      <c r="Z59" s="4" t="inlineStr">
        <is>
          <t>porous materials preferred; non-porous growth usually on possible</t>
        </is>
      </c>
    </row>
    <row r="60">
      <c r="A60" s="4" t="inlineStr">
        <is>
          <t>Stemphylium vesicarium</t>
        </is>
      </c>
      <c r="B60" s="4" t="inlineStr">
        <is>
          <t>Stemphylium</t>
        </is>
      </c>
      <c r="C60" s="4" t="inlineStr">
        <is>
          <t>Allergenic</t>
        </is>
      </c>
      <c r="D60" s="4" t="inlineStr">
        <is>
          <t>brown</t>
        </is>
      </c>
      <c r="E60" s="4" t="inlineStr">
        <is>
          <t>olive</t>
        </is>
      </c>
      <c r="F60" s="4" t="inlineStr">
        <is>
          <t>velvety</t>
        </is>
      </c>
      <c r="G60" s="4" t="inlineStr">
        <is>
          <t>patchy</t>
        </is>
      </c>
      <c r="H60" s="4" t="inlineStr">
        <is>
          <t>window trim, drywall</t>
        </is>
      </c>
      <c r="I60" s="4" t="inlineStr">
        <is>
          <t>condensation-prone areas</t>
        </is>
      </c>
      <c r="J60" s="4" t="inlineStr">
        <is>
          <t>moderate</t>
        </is>
      </c>
      <c r="K60" s="4" t="inlineStr">
        <is>
          <t>65+</t>
        </is>
      </c>
      <c r="L60" s="4" t="inlineStr">
        <is>
          <t>18-30</t>
        </is>
      </c>
      <c r="M60" s="4" t="inlineStr">
        <is>
          <t>yes</t>
        </is>
      </c>
      <c r="N60" s="4" t="inlineStr">
        <is>
          <t>possible</t>
        </is>
      </c>
      <c r="O60" s="4" t="inlineStr">
        <is>
          <t>low to moderate</t>
        </is>
      </c>
      <c r="P60" s="4" t="inlineStr">
        <is>
          <t>possible</t>
        </is>
      </c>
      <c r="Q60" s="4" t="inlineStr">
        <is>
          <t>clean and manage humidity</t>
        </is>
      </c>
      <c r="R60" s="4" t="inlineStr">
        <is>
          <t>brown_patch, velvety_surface</t>
        </is>
      </c>
      <c r="S60" s="4" t="inlineStr">
        <is>
          <t>Dark multicellular spore group</t>
        </is>
      </c>
      <c r="T60" s="4" t="inlineStr">
        <is>
          <t>moderate</t>
        </is>
      </c>
      <c r="U60" s="4" t="inlineStr">
        <is>
          <t>allergenic</t>
        </is>
      </c>
      <c r="V60" s="4" t="inlineStr">
        <is>
          <t>24-48 hrs with persistent humidity</t>
        </is>
      </c>
      <c r="W60" s="4" t="inlineStr">
        <is>
          <t>air and/or surface depending on context</t>
        </is>
      </c>
      <c r="X60" s="4" t="inlineStr">
        <is>
          <t>yes</t>
        </is>
      </c>
      <c r="Y60" s="4" t="inlineStr">
        <is>
          <t>brown, olive, velvety, patchy</t>
        </is>
      </c>
      <c r="Z60" s="4" t="inlineStr">
        <is>
          <t>porous materials preferred; non-porous growth usually on possible</t>
        </is>
      </c>
    </row>
    <row r="61">
      <c r="A61" s="4" t="inlineStr">
        <is>
          <t>Scopulariopsis brevicaulis</t>
        </is>
      </c>
      <c r="B61" s="4" t="inlineStr">
        <is>
          <t>Scopulariopsis</t>
        </is>
      </c>
      <c r="C61" s="4" t="inlineStr">
        <is>
          <t>Dry environment mold</t>
        </is>
      </c>
      <c r="D61" s="4" t="inlineStr">
        <is>
          <t>tan</t>
        </is>
      </c>
      <c r="E61" s="4" t="inlineStr">
        <is>
          <t>brown</t>
        </is>
      </c>
      <c r="F61" s="4" t="inlineStr">
        <is>
          <t>powdery</t>
        </is>
      </c>
      <c r="G61" s="4" t="inlineStr">
        <is>
          <t>patchy</t>
        </is>
      </c>
      <c r="H61" s="4" t="inlineStr">
        <is>
          <t>wood, paper, dust</t>
        </is>
      </c>
      <c r="I61" s="4" t="inlineStr">
        <is>
          <t>attics, dry walls, stored boxes</t>
        </is>
      </c>
      <c r="J61" s="4" t="inlineStr">
        <is>
          <t>low to moderate</t>
        </is>
      </c>
      <c r="K61" s="4" t="inlineStr">
        <is>
          <t>55+</t>
        </is>
      </c>
      <c r="L61" s="4" t="inlineStr">
        <is>
          <t>15-30</t>
        </is>
      </c>
      <c r="M61" s="4" t="inlineStr">
        <is>
          <t>yes</t>
        </is>
      </c>
      <c r="N61" s="4" t="inlineStr">
        <is>
          <t>possible via dust</t>
        </is>
      </c>
      <c r="O61" s="4" t="inlineStr">
        <is>
          <t>low to moderate</t>
        </is>
      </c>
      <c r="P61" s="4" t="inlineStr">
        <is>
          <t>possible</t>
        </is>
      </c>
      <c r="Q61" s="4" t="inlineStr">
        <is>
          <t>HEPA vacuum and dry clean-up</t>
        </is>
      </c>
      <c r="R61" s="4" t="inlineStr">
        <is>
          <t>tan_powder, dry_surface</t>
        </is>
      </c>
      <c r="S61" s="4" t="inlineStr">
        <is>
          <t>Scopulariopsis visual group</t>
        </is>
      </c>
      <c r="T61" s="4" t="inlineStr">
        <is>
          <t>low-to-moderate</t>
        </is>
      </c>
      <c r="U61" s="4" t="inlineStr">
        <is>
          <t>allergenic + opportunistic infectious</t>
        </is>
      </c>
      <c r="V61" s="4" t="inlineStr">
        <is>
          <t>24-48 hrs with residue + humidity</t>
        </is>
      </c>
      <c r="W61" s="4" t="inlineStr">
        <is>
          <t>air and/or surface depending on context</t>
        </is>
      </c>
      <c r="X61" s="4" t="inlineStr">
        <is>
          <t>no</t>
        </is>
      </c>
      <c r="Y61" s="4" t="inlineStr">
        <is>
          <t>tan, brown, powdery, patchy</t>
        </is>
      </c>
      <c r="Z61" s="4" t="inlineStr">
        <is>
          <t>porous materials preferred; non-porous growth usually on possible via dust</t>
        </is>
      </c>
    </row>
    <row r="62">
      <c r="A62" s="4" t="inlineStr">
        <is>
          <t>Scopulariopsis fusca</t>
        </is>
      </c>
      <c r="B62" s="4" t="inlineStr">
        <is>
          <t>Scopulariopsis</t>
        </is>
      </c>
      <c r="C62" s="4" t="inlineStr">
        <is>
          <t>Dry environment mold</t>
        </is>
      </c>
      <c r="D62" s="4" t="inlineStr">
        <is>
          <t>tan</t>
        </is>
      </c>
      <c r="E62" s="4" t="inlineStr">
        <is>
          <t>brown</t>
        </is>
      </c>
      <c r="F62" s="4" t="inlineStr">
        <is>
          <t>powdery</t>
        </is>
      </c>
      <c r="G62" s="4" t="inlineStr">
        <is>
          <t>patchy</t>
        </is>
      </c>
      <c r="H62" s="4" t="inlineStr">
        <is>
          <t>wood, paper, dust</t>
        </is>
      </c>
      <c r="I62" s="4" t="inlineStr">
        <is>
          <t>attics, dry walls, stored boxes</t>
        </is>
      </c>
      <c r="J62" s="4" t="inlineStr">
        <is>
          <t>low to moderate</t>
        </is>
      </c>
      <c r="K62" s="4" t="inlineStr">
        <is>
          <t>55+</t>
        </is>
      </c>
      <c r="L62" s="4" t="inlineStr">
        <is>
          <t>15-30</t>
        </is>
      </c>
      <c r="M62" s="4" t="inlineStr">
        <is>
          <t>yes</t>
        </is>
      </c>
      <c r="N62" s="4" t="inlineStr">
        <is>
          <t>possible via dust</t>
        </is>
      </c>
      <c r="O62" s="4" t="inlineStr">
        <is>
          <t>low to moderate</t>
        </is>
      </c>
      <c r="P62" s="4" t="inlineStr">
        <is>
          <t>possible</t>
        </is>
      </c>
      <c r="Q62" s="4" t="inlineStr">
        <is>
          <t>HEPA vacuum and dry clean-up</t>
        </is>
      </c>
      <c r="R62" s="4" t="inlineStr">
        <is>
          <t>tan_powder, dry_surface</t>
        </is>
      </c>
      <c r="S62" s="4" t="inlineStr">
        <is>
          <t>Scopulariopsis visual group</t>
        </is>
      </c>
      <c r="T62" s="4" t="inlineStr">
        <is>
          <t>low-to-moderate</t>
        </is>
      </c>
      <c r="U62" s="4" t="inlineStr">
        <is>
          <t>allergenic + opportunistic infectious</t>
        </is>
      </c>
      <c r="V62" s="4" t="inlineStr">
        <is>
          <t>24-48 hrs with residue + humidity</t>
        </is>
      </c>
      <c r="W62" s="4" t="inlineStr">
        <is>
          <t>air and/or surface depending on context</t>
        </is>
      </c>
      <c r="X62" s="4" t="inlineStr">
        <is>
          <t>no</t>
        </is>
      </c>
      <c r="Y62" s="4" t="inlineStr">
        <is>
          <t>tan, brown, powdery, patchy</t>
        </is>
      </c>
      <c r="Z62" s="4" t="inlineStr">
        <is>
          <t>porous materials preferred; non-porous growth usually on possible via dust</t>
        </is>
      </c>
    </row>
    <row r="63">
      <c r="A63" s="4" t="inlineStr">
        <is>
          <t>Wallemia sebi</t>
        </is>
      </c>
      <c r="B63" s="4" t="inlineStr">
        <is>
          <t>Wallemia</t>
        </is>
      </c>
      <c r="C63" s="4" t="inlineStr">
        <is>
          <t>Dry environment mold</t>
        </is>
      </c>
      <c r="D63" s="4" t="inlineStr">
        <is>
          <t>brown</t>
        </is>
      </c>
      <c r="E63" s="4" t="inlineStr">
        <is>
          <t>black</t>
        </is>
      </c>
      <c r="F63" s="4" t="inlineStr">
        <is>
          <t>powdery</t>
        </is>
      </c>
      <c r="G63" s="4" t="inlineStr">
        <is>
          <t>low profile</t>
        </is>
      </c>
      <c r="H63" s="4" t="inlineStr">
        <is>
          <t>dust, dry foods, drywall dust</t>
        </is>
      </c>
      <c r="I63" s="4" t="inlineStr">
        <is>
          <t>dry indoor air, dusty shelving</t>
        </is>
      </c>
      <c r="J63" s="4" t="inlineStr">
        <is>
          <t>low</t>
        </is>
      </c>
      <c r="K63" s="4" t="inlineStr">
        <is>
          <t>50+</t>
        </is>
      </c>
      <c r="L63" s="4" t="inlineStr">
        <is>
          <t>15-30</t>
        </is>
      </c>
      <c r="M63" s="4" t="inlineStr">
        <is>
          <t>yes</t>
        </is>
      </c>
      <c r="N63" s="4" t="inlineStr">
        <is>
          <t>possible via dust</t>
        </is>
      </c>
      <c r="O63" s="4" t="inlineStr">
        <is>
          <t>low to moderate</t>
        </is>
      </c>
      <c r="P63" s="4" t="inlineStr">
        <is>
          <t>possible</t>
        </is>
      </c>
      <c r="Q63" s="4" t="inlineStr">
        <is>
          <t>clean dust reservoirs and improve housekeeping</t>
        </is>
      </c>
      <c r="R63" s="4" t="inlineStr">
        <is>
          <t>tiny_brown_colonies, dry_dusty</t>
        </is>
      </c>
      <c r="S63" s="4" t="inlineStr">
        <is>
          <t>Wallemia visual group</t>
        </is>
      </c>
      <c r="T63" s="4" t="inlineStr">
        <is>
          <t>low</t>
        </is>
      </c>
      <c r="U63" s="4" t="inlineStr">
        <is>
          <t>dry-environment allergen / irritant potential</t>
        </is>
      </c>
      <c r="V63" s="4" t="inlineStr">
        <is>
          <t>slower; low-water-activity tolerant conditions</t>
        </is>
      </c>
      <c r="W63" s="4" t="inlineStr">
        <is>
          <t>air and/or surface depending on context</t>
        </is>
      </c>
      <c r="X63" s="4" t="inlineStr">
        <is>
          <t>no</t>
        </is>
      </c>
      <c r="Y63" s="4" t="inlineStr">
        <is>
          <t>brown, black, powdery, low profile</t>
        </is>
      </c>
      <c r="Z63" s="4" t="inlineStr">
        <is>
          <t>porous materials preferred; non-porous growth usually on possible via dust</t>
        </is>
      </c>
    </row>
    <row r="64">
      <c r="A64" s="4" t="inlineStr">
        <is>
          <t>Wallemia muriae</t>
        </is>
      </c>
      <c r="B64" s="4" t="inlineStr">
        <is>
          <t>Wallemia</t>
        </is>
      </c>
      <c r="C64" s="4" t="inlineStr">
        <is>
          <t>Dry environment mold</t>
        </is>
      </c>
      <c r="D64" s="4" t="inlineStr">
        <is>
          <t>brown</t>
        </is>
      </c>
      <c r="E64" s="4" t="inlineStr">
        <is>
          <t>black</t>
        </is>
      </c>
      <c r="F64" s="4" t="inlineStr">
        <is>
          <t>powdery</t>
        </is>
      </c>
      <c r="G64" s="4" t="inlineStr">
        <is>
          <t>low profile</t>
        </is>
      </c>
      <c r="H64" s="4" t="inlineStr">
        <is>
          <t>dust, dry foods, drywall dust</t>
        </is>
      </c>
      <c r="I64" s="4" t="inlineStr">
        <is>
          <t>dry indoor air, dusty shelving</t>
        </is>
      </c>
      <c r="J64" s="4" t="inlineStr">
        <is>
          <t>low</t>
        </is>
      </c>
      <c r="K64" s="4" t="inlineStr">
        <is>
          <t>50+</t>
        </is>
      </c>
      <c r="L64" s="4" t="inlineStr">
        <is>
          <t>15-30</t>
        </is>
      </c>
      <c r="M64" s="4" t="inlineStr">
        <is>
          <t>yes</t>
        </is>
      </c>
      <c r="N64" s="4" t="inlineStr">
        <is>
          <t>possible via dust</t>
        </is>
      </c>
      <c r="O64" s="4" t="inlineStr">
        <is>
          <t>low to moderate</t>
        </is>
      </c>
      <c r="P64" s="4" t="inlineStr">
        <is>
          <t>possible</t>
        </is>
      </c>
      <c r="Q64" s="4" t="inlineStr">
        <is>
          <t>clean dust reservoirs and improve housekeeping</t>
        </is>
      </c>
      <c r="R64" s="4" t="inlineStr">
        <is>
          <t>tiny_brown_colonies, dry_dusty</t>
        </is>
      </c>
      <c r="S64" s="4" t="inlineStr">
        <is>
          <t>Wallemia visual group</t>
        </is>
      </c>
      <c r="T64" s="4" t="inlineStr">
        <is>
          <t>low</t>
        </is>
      </c>
      <c r="U64" s="4" t="inlineStr">
        <is>
          <t>dry-environment allergen / irritant potential</t>
        </is>
      </c>
      <c r="V64" s="4" t="inlineStr">
        <is>
          <t>slower; low-water-activity tolerant conditions</t>
        </is>
      </c>
      <c r="W64" s="4" t="inlineStr">
        <is>
          <t>air and/or surface depending on context</t>
        </is>
      </c>
      <c r="X64" s="4" t="inlineStr">
        <is>
          <t>no</t>
        </is>
      </c>
      <c r="Y64" s="4" t="inlineStr">
        <is>
          <t>brown, black, powdery, low profile</t>
        </is>
      </c>
      <c r="Z64" s="4" t="inlineStr">
        <is>
          <t>porous materials preferred; non-porous growth usually on possible via dust</t>
        </is>
      </c>
    </row>
    <row r="65">
      <c r="A65" s="4" t="inlineStr">
        <is>
          <t>Acremonium strictum</t>
        </is>
      </c>
      <c r="B65" s="4" t="inlineStr">
        <is>
          <t>Acremonium</t>
        </is>
      </c>
      <c r="C65" s="4" t="inlineStr">
        <is>
          <t>Common indoor</t>
        </is>
      </c>
      <c r="D65" s="4" t="inlineStr">
        <is>
          <t>white</t>
        </is>
      </c>
      <c r="E65" s="4" t="inlineStr">
        <is>
          <t>gray</t>
        </is>
      </c>
      <c r="F65" s="4" t="inlineStr">
        <is>
          <t>powdery</t>
        </is>
      </c>
      <c r="G65" s="4" t="inlineStr">
        <is>
          <t>patchy</t>
        </is>
      </c>
      <c r="H65" s="4" t="inlineStr">
        <is>
          <t>drywall, wood, dust</t>
        </is>
      </c>
      <c r="I65" s="4" t="inlineStr">
        <is>
          <t>bathrooms, basements, HVAC, windows</t>
        </is>
      </c>
      <c r="J65" s="4" t="inlineStr">
        <is>
          <t>moderate</t>
        </is>
      </c>
      <c r="K65" s="4" t="inlineStr">
        <is>
          <t>60+</t>
        </is>
      </c>
      <c r="L65" s="4" t="inlineStr">
        <is>
          <t>15-32</t>
        </is>
      </c>
      <c r="M65" s="4" t="inlineStr">
        <is>
          <t>yes</t>
        </is>
      </c>
      <c r="N65" s="4" t="inlineStr">
        <is>
          <t>possible via dust</t>
        </is>
      </c>
      <c r="O65" s="4" t="inlineStr">
        <is>
          <t>low to moderate</t>
        </is>
      </c>
      <c r="P65" s="4" t="inlineStr">
        <is>
          <t>possible</t>
        </is>
      </c>
      <c r="Q65" s="4" t="inlineStr">
        <is>
          <t>clean visible growth, correct moisture, remove wet porous materials if extensive</t>
        </is>
      </c>
      <c r="R65" s="4" t="inlineStr">
        <is>
          <t>patchy_growth, discoloration, moisture_associated</t>
        </is>
      </c>
      <c r="S65" s="4" t="inlineStr">
        <is>
          <t>Aspergillus/Penicillium-like</t>
        </is>
      </c>
      <c r="T65" s="4" t="inlineStr">
        <is>
          <t>low-to-moderate</t>
        </is>
      </c>
      <c r="U65" s="4" t="inlineStr">
        <is>
          <t>common indoor / allergen potential</t>
        </is>
      </c>
      <c r="V65" s="4" t="inlineStr">
        <is>
          <t>24-48 hrs with persistent humidity</t>
        </is>
      </c>
      <c r="W65" s="4" t="inlineStr">
        <is>
          <t>air and/or surface depending on context</t>
        </is>
      </c>
      <c r="X65" s="4" t="inlineStr">
        <is>
          <t>no</t>
        </is>
      </c>
      <c r="Y65" s="4" t="inlineStr">
        <is>
          <t>white, gray, powdery, patchy</t>
        </is>
      </c>
      <c r="Z65" s="4" t="inlineStr">
        <is>
          <t>porous materials preferred; non-porous growth usually on possible via dust</t>
        </is>
      </c>
    </row>
    <row r="66">
      <c r="A66" s="4" t="inlineStr">
        <is>
          <t>Acremonium kiliense</t>
        </is>
      </c>
      <c r="B66" s="4" t="inlineStr">
        <is>
          <t>Acremonium</t>
        </is>
      </c>
      <c r="C66" s="4" t="inlineStr">
        <is>
          <t>Common indoor</t>
        </is>
      </c>
      <c r="D66" s="4" t="inlineStr">
        <is>
          <t>white</t>
        </is>
      </c>
      <c r="E66" s="4" t="inlineStr">
        <is>
          <t>gray</t>
        </is>
      </c>
      <c r="F66" s="4" t="inlineStr">
        <is>
          <t>powdery</t>
        </is>
      </c>
      <c r="G66" s="4" t="inlineStr">
        <is>
          <t>patchy</t>
        </is>
      </c>
      <c r="H66" s="4" t="inlineStr">
        <is>
          <t>drywall, wood, dust</t>
        </is>
      </c>
      <c r="I66" s="4" t="inlineStr">
        <is>
          <t>bathrooms, basements, HVAC, windows</t>
        </is>
      </c>
      <c r="J66" s="4" t="inlineStr">
        <is>
          <t>moderate</t>
        </is>
      </c>
      <c r="K66" s="4" t="inlineStr">
        <is>
          <t>60+</t>
        </is>
      </c>
      <c r="L66" s="4" t="inlineStr">
        <is>
          <t>15-32</t>
        </is>
      </c>
      <c r="M66" s="4" t="inlineStr">
        <is>
          <t>yes</t>
        </is>
      </c>
      <c r="N66" s="4" t="inlineStr">
        <is>
          <t>possible via dust</t>
        </is>
      </c>
      <c r="O66" s="4" t="inlineStr">
        <is>
          <t>low to moderate</t>
        </is>
      </c>
      <c r="P66" s="4" t="inlineStr">
        <is>
          <t>possible</t>
        </is>
      </c>
      <c r="Q66" s="4" t="inlineStr">
        <is>
          <t>clean visible growth, correct moisture, remove wet porous materials if extensive</t>
        </is>
      </c>
      <c r="R66" s="4" t="inlineStr">
        <is>
          <t>patchy_growth, discoloration, moisture_associated</t>
        </is>
      </c>
      <c r="S66" s="4" t="inlineStr">
        <is>
          <t>Aspergillus/Penicillium-like</t>
        </is>
      </c>
      <c r="T66" s="4" t="inlineStr">
        <is>
          <t>low-to-moderate</t>
        </is>
      </c>
      <c r="U66" s="4" t="inlineStr">
        <is>
          <t>common indoor / allergen potential</t>
        </is>
      </c>
      <c r="V66" s="4" t="inlineStr">
        <is>
          <t>24-48 hrs with persistent humidity</t>
        </is>
      </c>
      <c r="W66" s="4" t="inlineStr">
        <is>
          <t>air and/or surface depending on context</t>
        </is>
      </c>
      <c r="X66" s="4" t="inlineStr">
        <is>
          <t>no</t>
        </is>
      </c>
      <c r="Y66" s="4" t="inlineStr">
        <is>
          <t>white, gray, powdery, patchy</t>
        </is>
      </c>
      <c r="Z66" s="4" t="inlineStr">
        <is>
          <t>porous materials preferred; non-porous growth usually on possible via dust</t>
        </is>
      </c>
    </row>
    <row r="67">
      <c r="A67" s="4" t="inlineStr">
        <is>
          <t>Paecilomyces variotii</t>
        </is>
      </c>
      <c r="B67" s="4" t="inlineStr">
        <is>
          <t>Paecilomyces</t>
        </is>
      </c>
      <c r="C67" s="4" t="inlineStr">
        <is>
          <t>Common indoor</t>
        </is>
      </c>
      <c r="D67" s="4" t="inlineStr">
        <is>
          <t>white</t>
        </is>
      </c>
      <c r="E67" s="4" t="inlineStr">
        <is>
          <t>gray</t>
        </is>
      </c>
      <c r="F67" s="4" t="inlineStr">
        <is>
          <t>powdery</t>
        </is>
      </c>
      <c r="G67" s="4" t="inlineStr">
        <is>
          <t>patchy</t>
        </is>
      </c>
      <c r="H67" s="4" t="inlineStr">
        <is>
          <t>drywall, wood, dust</t>
        </is>
      </c>
      <c r="I67" s="4" t="inlineStr">
        <is>
          <t>bathrooms, basements, HVAC, windows</t>
        </is>
      </c>
      <c r="J67" s="4" t="inlineStr">
        <is>
          <t>moderate</t>
        </is>
      </c>
      <c r="K67" s="4" t="inlineStr">
        <is>
          <t>60+</t>
        </is>
      </c>
      <c r="L67" s="4" t="inlineStr">
        <is>
          <t>15-32</t>
        </is>
      </c>
      <c r="M67" s="4" t="inlineStr">
        <is>
          <t>yes</t>
        </is>
      </c>
      <c r="N67" s="4" t="inlineStr">
        <is>
          <t>possible via dust</t>
        </is>
      </c>
      <c r="O67" s="4" t="inlineStr">
        <is>
          <t>low to moderate</t>
        </is>
      </c>
      <c r="P67" s="4" t="inlineStr">
        <is>
          <t>possible</t>
        </is>
      </c>
      <c r="Q67" s="4" t="inlineStr">
        <is>
          <t>clean visible growth, correct moisture, remove wet porous materials if extensive</t>
        </is>
      </c>
      <c r="R67" s="4" t="inlineStr">
        <is>
          <t>patchy_growth, discoloration, moisture_associated</t>
        </is>
      </c>
      <c r="S67" s="4" t="inlineStr">
        <is>
          <t>Aspergillus/Penicillium-like</t>
        </is>
      </c>
      <c r="T67" s="4" t="inlineStr">
        <is>
          <t>low-to-moderate</t>
        </is>
      </c>
      <c r="U67" s="4" t="inlineStr">
        <is>
          <t>common indoor / allergen potential</t>
        </is>
      </c>
      <c r="V67" s="4" t="inlineStr">
        <is>
          <t>24-48 hrs with persistent humidity</t>
        </is>
      </c>
      <c r="W67" s="4" t="inlineStr">
        <is>
          <t>air + surface/bulk</t>
        </is>
      </c>
      <c r="X67" s="4" t="inlineStr">
        <is>
          <t>no</t>
        </is>
      </c>
      <c r="Y67" s="4" t="inlineStr">
        <is>
          <t>white, gray, powdery, patchy</t>
        </is>
      </c>
      <c r="Z67" s="4" t="inlineStr">
        <is>
          <t>porous materials preferred; non-porous growth usually on possible via dust</t>
        </is>
      </c>
    </row>
    <row r="68">
      <c r="A68" s="4" t="inlineStr">
        <is>
          <t>Purpureocillium lilacinum</t>
        </is>
      </c>
      <c r="B68" s="4" t="inlineStr">
        <is>
          <t>Purpureocillium</t>
        </is>
      </c>
      <c r="C68" s="4" t="inlineStr">
        <is>
          <t>Common indoor</t>
        </is>
      </c>
      <c r="D68" s="4" t="inlineStr">
        <is>
          <t>white</t>
        </is>
      </c>
      <c r="E68" s="4" t="inlineStr">
        <is>
          <t>gray</t>
        </is>
      </c>
      <c r="F68" s="4" t="inlineStr">
        <is>
          <t>powdery</t>
        </is>
      </c>
      <c r="G68" s="4" t="inlineStr">
        <is>
          <t>patchy</t>
        </is>
      </c>
      <c r="H68" s="4" t="inlineStr">
        <is>
          <t>drywall, wood, dust</t>
        </is>
      </c>
      <c r="I68" s="4" t="inlineStr">
        <is>
          <t>bathrooms, basements, HVAC, windows</t>
        </is>
      </c>
      <c r="J68" s="4" t="inlineStr">
        <is>
          <t>moderate</t>
        </is>
      </c>
      <c r="K68" s="4" t="inlineStr">
        <is>
          <t>60+</t>
        </is>
      </c>
      <c r="L68" s="4" t="inlineStr">
        <is>
          <t>15-32</t>
        </is>
      </c>
      <c r="M68" s="4" t="inlineStr">
        <is>
          <t>yes</t>
        </is>
      </c>
      <c r="N68" s="4" t="inlineStr">
        <is>
          <t>possible via dust</t>
        </is>
      </c>
      <c r="O68" s="4" t="inlineStr">
        <is>
          <t>low to moderate</t>
        </is>
      </c>
      <c r="P68" s="4" t="inlineStr">
        <is>
          <t>possible</t>
        </is>
      </c>
      <c r="Q68" s="4" t="inlineStr">
        <is>
          <t>clean visible growth, correct moisture, remove wet porous materials if extensive</t>
        </is>
      </c>
      <c r="R68" s="4" t="inlineStr">
        <is>
          <t>patchy_growth, discoloration, moisture_associated</t>
        </is>
      </c>
      <c r="S68" s="4" t="inlineStr">
        <is>
          <t>Purpureocillium visual group</t>
        </is>
      </c>
      <c r="T68" s="4" t="inlineStr">
        <is>
          <t>moderate</t>
        </is>
      </c>
      <c r="U68" s="4" t="inlineStr">
        <is>
          <t>common indoor / allergen potential</t>
        </is>
      </c>
      <c r="V68" s="4" t="inlineStr">
        <is>
          <t>24-48 hrs with persistent humidity</t>
        </is>
      </c>
      <c r="W68" s="4" t="inlineStr">
        <is>
          <t>air and/or surface depending on context</t>
        </is>
      </c>
      <c r="X68" s="4" t="inlineStr">
        <is>
          <t>no</t>
        </is>
      </c>
      <c r="Y68" s="4" t="inlineStr">
        <is>
          <t>white, gray, powdery, patchy</t>
        </is>
      </c>
      <c r="Z68" s="4" t="inlineStr">
        <is>
          <t>porous materials preferred; non-porous growth usually on possible via dust</t>
        </is>
      </c>
    </row>
    <row r="69">
      <c r="A69" s="4" t="inlineStr">
        <is>
          <t>Memnoniella echinata</t>
        </is>
      </c>
      <c r="B69" s="4" t="inlineStr">
        <is>
          <t>Memnoniella</t>
        </is>
      </c>
      <c r="C69" s="4" t="inlineStr">
        <is>
          <t>Common indoor</t>
        </is>
      </c>
      <c r="D69" s="4" t="inlineStr">
        <is>
          <t>white</t>
        </is>
      </c>
      <c r="E69" s="4" t="inlineStr">
        <is>
          <t>gray</t>
        </is>
      </c>
      <c r="F69" s="4" t="inlineStr">
        <is>
          <t>powdery</t>
        </is>
      </c>
      <c r="G69" s="4" t="inlineStr">
        <is>
          <t>patchy</t>
        </is>
      </c>
      <c r="H69" s="4" t="inlineStr">
        <is>
          <t>drywall, wood, dust</t>
        </is>
      </c>
      <c r="I69" s="4" t="inlineStr">
        <is>
          <t>bathrooms, basements, HVAC, windows</t>
        </is>
      </c>
      <c r="J69" s="4" t="inlineStr">
        <is>
          <t>moderate</t>
        </is>
      </c>
      <c r="K69" s="4" t="inlineStr">
        <is>
          <t>60+</t>
        </is>
      </c>
      <c r="L69" s="4" t="inlineStr">
        <is>
          <t>15-32</t>
        </is>
      </c>
      <c r="M69" s="4" t="inlineStr">
        <is>
          <t>yes</t>
        </is>
      </c>
      <c r="N69" s="4" t="inlineStr">
        <is>
          <t>possible via dust</t>
        </is>
      </c>
      <c r="O69" s="4" t="inlineStr">
        <is>
          <t>low to moderate</t>
        </is>
      </c>
      <c r="P69" s="4" t="inlineStr">
        <is>
          <t>possible</t>
        </is>
      </c>
      <c r="Q69" s="4" t="inlineStr">
        <is>
          <t>clean visible growth, correct moisture, remove wet porous materials if extensive</t>
        </is>
      </c>
      <c r="R69" s="4" t="inlineStr">
        <is>
          <t>patchy_growth, discoloration, moisture_associated</t>
        </is>
      </c>
      <c r="S69" s="4" t="inlineStr">
        <is>
          <t>Sticky water-damage group</t>
        </is>
      </c>
      <c r="T69" s="4" t="inlineStr">
        <is>
          <t>high</t>
        </is>
      </c>
      <c r="U69" s="4" t="inlineStr">
        <is>
          <t>toxic + allergenic</t>
        </is>
      </c>
      <c r="V69" s="4" t="inlineStr">
        <is>
          <t>24-48 hrs with persistent humidity</t>
        </is>
      </c>
      <c r="W69" s="4" t="inlineStr">
        <is>
          <t>surface/bulk preferred; air may under-represent</t>
        </is>
      </c>
      <c r="X69" s="4" t="inlineStr">
        <is>
          <t>yes</t>
        </is>
      </c>
      <c r="Y69" s="4" t="inlineStr">
        <is>
          <t>white, gray, powdery, patchy</t>
        </is>
      </c>
      <c r="Z69" s="4" t="inlineStr">
        <is>
          <t>porous materials preferred; non-porous growth usually on possible via dust</t>
        </is>
      </c>
    </row>
    <row r="70">
      <c r="A70" s="4" t="inlineStr">
        <is>
          <t>Memnoniella longistipitata</t>
        </is>
      </c>
      <c r="B70" s="4" t="inlineStr">
        <is>
          <t>Memnoniella</t>
        </is>
      </c>
      <c r="C70" s="4" t="inlineStr">
        <is>
          <t>Common indoor</t>
        </is>
      </c>
      <c r="D70" s="4" t="inlineStr">
        <is>
          <t>white</t>
        </is>
      </c>
      <c r="E70" s="4" t="inlineStr">
        <is>
          <t>gray</t>
        </is>
      </c>
      <c r="F70" s="4" t="inlineStr">
        <is>
          <t>powdery</t>
        </is>
      </c>
      <c r="G70" s="4" t="inlineStr">
        <is>
          <t>patchy</t>
        </is>
      </c>
      <c r="H70" s="4" t="inlineStr">
        <is>
          <t>drywall, wood, dust</t>
        </is>
      </c>
      <c r="I70" s="4" t="inlineStr">
        <is>
          <t>bathrooms, basements, HVAC, windows</t>
        </is>
      </c>
      <c r="J70" s="4" t="inlineStr">
        <is>
          <t>moderate</t>
        </is>
      </c>
      <c r="K70" s="4" t="inlineStr">
        <is>
          <t>60+</t>
        </is>
      </c>
      <c r="L70" s="4" t="inlineStr">
        <is>
          <t>15-32</t>
        </is>
      </c>
      <c r="M70" s="4" t="inlineStr">
        <is>
          <t>yes</t>
        </is>
      </c>
      <c r="N70" s="4" t="inlineStr">
        <is>
          <t>possible via dust</t>
        </is>
      </c>
      <c r="O70" s="4" t="inlineStr">
        <is>
          <t>low to moderate</t>
        </is>
      </c>
      <c r="P70" s="4" t="inlineStr">
        <is>
          <t>possible</t>
        </is>
      </c>
      <c r="Q70" s="4" t="inlineStr">
        <is>
          <t>clean visible growth, correct moisture, remove wet porous materials if extensive</t>
        </is>
      </c>
      <c r="R70" s="4" t="inlineStr">
        <is>
          <t>patchy_growth, discoloration, moisture_associated</t>
        </is>
      </c>
      <c r="S70" s="4" t="inlineStr">
        <is>
          <t>Sticky water-damage group</t>
        </is>
      </c>
      <c r="T70" s="4" t="inlineStr">
        <is>
          <t>high</t>
        </is>
      </c>
      <c r="U70" s="4" t="inlineStr">
        <is>
          <t>toxic + allergenic</t>
        </is>
      </c>
      <c r="V70" s="4" t="inlineStr">
        <is>
          <t>24-48 hrs with persistent humidity</t>
        </is>
      </c>
      <c r="W70" s="4" t="inlineStr">
        <is>
          <t>surface/bulk preferred; air may under-represent</t>
        </is>
      </c>
      <c r="X70" s="4" t="inlineStr">
        <is>
          <t>yes</t>
        </is>
      </c>
      <c r="Y70" s="4" t="inlineStr">
        <is>
          <t>white, gray, powdery, patchy</t>
        </is>
      </c>
      <c r="Z70" s="4" t="inlineStr">
        <is>
          <t>porous materials preferred; non-porous growth usually on possible via dust</t>
        </is>
      </c>
    </row>
    <row r="71">
      <c r="A71" s="4" t="inlineStr">
        <is>
          <t>Bipolaris spicifera</t>
        </is>
      </c>
      <c r="B71" s="4" t="inlineStr">
        <is>
          <t>Bipolaris</t>
        </is>
      </c>
      <c r="C71" s="4" t="inlineStr">
        <is>
          <t>Common indoor</t>
        </is>
      </c>
      <c r="D71" s="4" t="inlineStr">
        <is>
          <t>white</t>
        </is>
      </c>
      <c r="E71" s="4" t="inlineStr">
        <is>
          <t>gray</t>
        </is>
      </c>
      <c r="F71" s="4" t="inlineStr">
        <is>
          <t>powdery</t>
        </is>
      </c>
      <c r="G71" s="4" t="inlineStr">
        <is>
          <t>patchy</t>
        </is>
      </c>
      <c r="H71" s="4" t="inlineStr">
        <is>
          <t>drywall, wood, dust</t>
        </is>
      </c>
      <c r="I71" s="4" t="inlineStr">
        <is>
          <t>bathrooms, basements, HVAC, windows</t>
        </is>
      </c>
      <c r="J71" s="4" t="inlineStr">
        <is>
          <t>moderate</t>
        </is>
      </c>
      <c r="K71" s="4" t="inlineStr">
        <is>
          <t>60+</t>
        </is>
      </c>
      <c r="L71" s="4" t="inlineStr">
        <is>
          <t>15-32</t>
        </is>
      </c>
      <c r="M71" s="4" t="inlineStr">
        <is>
          <t>yes</t>
        </is>
      </c>
      <c r="N71" s="4" t="inlineStr">
        <is>
          <t>possible via dust</t>
        </is>
      </c>
      <c r="O71" s="4" t="inlineStr">
        <is>
          <t>low to moderate</t>
        </is>
      </c>
      <c r="P71" s="4" t="inlineStr">
        <is>
          <t>possible</t>
        </is>
      </c>
      <c r="Q71" s="4" t="inlineStr">
        <is>
          <t>clean visible growth, correct moisture, remove wet porous materials if extensive</t>
        </is>
      </c>
      <c r="R71" s="4" t="inlineStr">
        <is>
          <t>patchy_growth, discoloration, moisture_associated</t>
        </is>
      </c>
      <c r="S71" s="4" t="inlineStr">
        <is>
          <t>Bipolaris visual group</t>
        </is>
      </c>
      <c r="T71" s="4" t="inlineStr">
        <is>
          <t>moderate</t>
        </is>
      </c>
      <c r="U71" s="4" t="inlineStr">
        <is>
          <t>common indoor / allergen potential</t>
        </is>
      </c>
      <c r="V71" s="4" t="inlineStr">
        <is>
          <t>24-48 hrs with persistent humidity</t>
        </is>
      </c>
      <c r="W71" s="4" t="inlineStr">
        <is>
          <t>air and/or surface depending on context</t>
        </is>
      </c>
      <c r="X71" s="4" t="inlineStr">
        <is>
          <t>no</t>
        </is>
      </c>
      <c r="Y71" s="4" t="inlineStr">
        <is>
          <t>white, gray, powdery, patchy</t>
        </is>
      </c>
      <c r="Z71" s="4" t="inlineStr">
        <is>
          <t>porous materials preferred; non-porous growth usually on possible via dust</t>
        </is>
      </c>
    </row>
    <row r="72">
      <c r="A72" s="4" t="inlineStr">
        <is>
          <t>Bipolaris australiensis</t>
        </is>
      </c>
      <c r="B72" s="4" t="inlineStr">
        <is>
          <t>Bipolaris</t>
        </is>
      </c>
      <c r="C72" s="4" t="inlineStr">
        <is>
          <t>Common indoor</t>
        </is>
      </c>
      <c r="D72" s="4" t="inlineStr">
        <is>
          <t>white</t>
        </is>
      </c>
      <c r="E72" s="4" t="inlineStr">
        <is>
          <t>gray</t>
        </is>
      </c>
      <c r="F72" s="4" t="inlineStr">
        <is>
          <t>powdery</t>
        </is>
      </c>
      <c r="G72" s="4" t="inlineStr">
        <is>
          <t>patchy</t>
        </is>
      </c>
      <c r="H72" s="4" t="inlineStr">
        <is>
          <t>drywall, wood, dust</t>
        </is>
      </c>
      <c r="I72" s="4" t="inlineStr">
        <is>
          <t>bathrooms, basements, HVAC, windows</t>
        </is>
      </c>
      <c r="J72" s="4" t="inlineStr">
        <is>
          <t>moderate</t>
        </is>
      </c>
      <c r="K72" s="4" t="inlineStr">
        <is>
          <t>60+</t>
        </is>
      </c>
      <c r="L72" s="4" t="inlineStr">
        <is>
          <t>15-32</t>
        </is>
      </c>
      <c r="M72" s="4" t="inlineStr">
        <is>
          <t>yes</t>
        </is>
      </c>
      <c r="N72" s="4" t="inlineStr">
        <is>
          <t>possible via dust</t>
        </is>
      </c>
      <c r="O72" s="4" t="inlineStr">
        <is>
          <t>low to moderate</t>
        </is>
      </c>
      <c r="P72" s="4" t="inlineStr">
        <is>
          <t>possible</t>
        </is>
      </c>
      <c r="Q72" s="4" t="inlineStr">
        <is>
          <t>clean visible growth, correct moisture, remove wet porous materials if extensive</t>
        </is>
      </c>
      <c r="R72" s="4" t="inlineStr">
        <is>
          <t>patchy_growth, discoloration, moisture_associated</t>
        </is>
      </c>
      <c r="S72" s="4" t="inlineStr">
        <is>
          <t>Bipolaris visual group</t>
        </is>
      </c>
      <c r="T72" s="4" t="inlineStr">
        <is>
          <t>moderate</t>
        </is>
      </c>
      <c r="U72" s="4" t="inlineStr">
        <is>
          <t>common indoor / allergen potential</t>
        </is>
      </c>
      <c r="V72" s="4" t="inlineStr">
        <is>
          <t>24-48 hrs with persistent humidity</t>
        </is>
      </c>
      <c r="W72" s="4" t="inlineStr">
        <is>
          <t>air and/or surface depending on context</t>
        </is>
      </c>
      <c r="X72" s="4" t="inlineStr">
        <is>
          <t>no</t>
        </is>
      </c>
      <c r="Y72" s="4" t="inlineStr">
        <is>
          <t>white, gray, powdery, patchy</t>
        </is>
      </c>
      <c r="Z72" s="4" t="inlineStr">
        <is>
          <t>porous materials preferred; non-porous growth usually on possible via dust</t>
        </is>
      </c>
    </row>
    <row r="73">
      <c r="A73" s="4" t="inlineStr">
        <is>
          <t>Exophiala dermatitidis</t>
        </is>
      </c>
      <c r="B73" s="4" t="inlineStr">
        <is>
          <t>Exophiala</t>
        </is>
      </c>
      <c r="C73" s="4" t="inlineStr">
        <is>
          <t>Common indoor</t>
        </is>
      </c>
      <c r="D73" s="4" t="inlineStr">
        <is>
          <t>white</t>
        </is>
      </c>
      <c r="E73" s="4" t="inlineStr">
        <is>
          <t>gray</t>
        </is>
      </c>
      <c r="F73" s="4" t="inlineStr">
        <is>
          <t>powdery</t>
        </is>
      </c>
      <c r="G73" s="4" t="inlineStr">
        <is>
          <t>patchy</t>
        </is>
      </c>
      <c r="H73" s="4" t="inlineStr">
        <is>
          <t>drywall, wood, dust</t>
        </is>
      </c>
      <c r="I73" s="4" t="inlineStr">
        <is>
          <t>bathrooms, basements, HVAC, windows</t>
        </is>
      </c>
      <c r="J73" s="4" t="inlineStr">
        <is>
          <t>moderate</t>
        </is>
      </c>
      <c r="K73" s="4" t="inlineStr">
        <is>
          <t>60+</t>
        </is>
      </c>
      <c r="L73" s="4" t="inlineStr">
        <is>
          <t>15-32</t>
        </is>
      </c>
      <c r="M73" s="4" t="inlineStr">
        <is>
          <t>yes</t>
        </is>
      </c>
      <c r="N73" s="4" t="inlineStr">
        <is>
          <t>possible via dust</t>
        </is>
      </c>
      <c r="O73" s="4" t="inlineStr">
        <is>
          <t>low to moderate</t>
        </is>
      </c>
      <c r="P73" s="4" t="inlineStr">
        <is>
          <t>possible</t>
        </is>
      </c>
      <c r="Q73" s="4" t="inlineStr">
        <is>
          <t>clean visible growth, correct moisture, remove wet porous materials if extensive</t>
        </is>
      </c>
      <c r="R73" s="4" t="inlineStr">
        <is>
          <t>patchy_growth, discoloration, moisture_associated</t>
        </is>
      </c>
      <c r="S73" s="4" t="inlineStr">
        <is>
          <t>Exophiala visual group</t>
        </is>
      </c>
      <c r="T73" s="4" t="inlineStr">
        <is>
          <t>moderate</t>
        </is>
      </c>
      <c r="U73" s="4" t="inlineStr">
        <is>
          <t>allergenic + opportunistic infectious</t>
        </is>
      </c>
      <c r="V73" s="4" t="inlineStr">
        <is>
          <t>24-48 hrs with persistent humidity</t>
        </is>
      </c>
      <c r="W73" s="4" t="inlineStr">
        <is>
          <t>air and/or surface depending on context</t>
        </is>
      </c>
      <c r="X73" s="4" t="inlineStr">
        <is>
          <t>no</t>
        </is>
      </c>
      <c r="Y73" s="4" t="inlineStr">
        <is>
          <t>white, gray, powdery, patchy</t>
        </is>
      </c>
      <c r="Z73" s="4" t="inlineStr">
        <is>
          <t>porous materials preferred; non-porous growth usually on possible via dust</t>
        </is>
      </c>
    </row>
    <row r="74">
      <c r="A74" s="4" t="inlineStr">
        <is>
          <t>Exophiala jeanselmei</t>
        </is>
      </c>
      <c r="B74" s="4" t="inlineStr">
        <is>
          <t>Exophiala</t>
        </is>
      </c>
      <c r="C74" s="4" t="inlineStr">
        <is>
          <t>Common indoor</t>
        </is>
      </c>
      <c r="D74" s="4" t="inlineStr">
        <is>
          <t>white</t>
        </is>
      </c>
      <c r="E74" s="4" t="inlineStr">
        <is>
          <t>gray</t>
        </is>
      </c>
      <c r="F74" s="4" t="inlineStr">
        <is>
          <t>powdery</t>
        </is>
      </c>
      <c r="G74" s="4" t="inlineStr">
        <is>
          <t>patchy</t>
        </is>
      </c>
      <c r="H74" s="4" t="inlineStr">
        <is>
          <t>drywall, wood, dust</t>
        </is>
      </c>
      <c r="I74" s="4" t="inlineStr">
        <is>
          <t>bathrooms, basements, HVAC, windows</t>
        </is>
      </c>
      <c r="J74" s="4" t="inlineStr">
        <is>
          <t>moderate</t>
        </is>
      </c>
      <c r="K74" s="4" t="inlineStr">
        <is>
          <t>60+</t>
        </is>
      </c>
      <c r="L74" s="4" t="inlineStr">
        <is>
          <t>15-32</t>
        </is>
      </c>
      <c r="M74" s="4" t="inlineStr">
        <is>
          <t>yes</t>
        </is>
      </c>
      <c r="N74" s="4" t="inlineStr">
        <is>
          <t>possible via dust</t>
        </is>
      </c>
      <c r="O74" s="4" t="inlineStr">
        <is>
          <t>low to moderate</t>
        </is>
      </c>
      <c r="P74" s="4" t="inlineStr">
        <is>
          <t>possible</t>
        </is>
      </c>
      <c r="Q74" s="4" t="inlineStr">
        <is>
          <t>clean visible growth, correct moisture, remove wet porous materials if extensive</t>
        </is>
      </c>
      <c r="R74" s="4" t="inlineStr">
        <is>
          <t>patchy_growth, discoloration, moisture_associated</t>
        </is>
      </c>
      <c r="S74" s="4" t="inlineStr">
        <is>
          <t>Exophiala visual group</t>
        </is>
      </c>
      <c r="T74" s="4" t="inlineStr">
        <is>
          <t>moderate</t>
        </is>
      </c>
      <c r="U74" s="4" t="inlineStr">
        <is>
          <t>allergenic + opportunistic infectious</t>
        </is>
      </c>
      <c r="V74" s="4" t="inlineStr">
        <is>
          <t>24-48 hrs with persistent humidity</t>
        </is>
      </c>
      <c r="W74" s="4" t="inlineStr">
        <is>
          <t>air and/or surface depending on context</t>
        </is>
      </c>
      <c r="X74" s="4" t="inlineStr">
        <is>
          <t>no</t>
        </is>
      </c>
      <c r="Y74" s="4" t="inlineStr">
        <is>
          <t>white, gray, powdery, patchy</t>
        </is>
      </c>
      <c r="Z74" s="4" t="inlineStr">
        <is>
          <t>porous materials preferred; non-porous growth usually on possible via dust</t>
        </is>
      </c>
    </row>
    <row r="75">
      <c r="A75" s="4" t="inlineStr">
        <is>
          <t>Drechslera spicifera</t>
        </is>
      </c>
      <c r="B75" s="4" t="inlineStr">
        <is>
          <t>Drechslera</t>
        </is>
      </c>
      <c r="C75" s="4" t="inlineStr">
        <is>
          <t>Common indoor</t>
        </is>
      </c>
      <c r="D75" s="4" t="inlineStr">
        <is>
          <t>white</t>
        </is>
      </c>
      <c r="E75" s="4" t="inlineStr">
        <is>
          <t>gray</t>
        </is>
      </c>
      <c r="F75" s="4" t="inlineStr">
        <is>
          <t>powdery</t>
        </is>
      </c>
      <c r="G75" s="4" t="inlineStr">
        <is>
          <t>patchy</t>
        </is>
      </c>
      <c r="H75" s="4" t="inlineStr">
        <is>
          <t>drywall, wood, dust</t>
        </is>
      </c>
      <c r="I75" s="4" t="inlineStr">
        <is>
          <t>bathrooms, basements, HVAC, windows</t>
        </is>
      </c>
      <c r="J75" s="4" t="inlineStr">
        <is>
          <t>moderate</t>
        </is>
      </c>
      <c r="K75" s="4" t="inlineStr">
        <is>
          <t>60+</t>
        </is>
      </c>
      <c r="L75" s="4" t="inlineStr">
        <is>
          <t>15-32</t>
        </is>
      </c>
      <c r="M75" s="4" t="inlineStr">
        <is>
          <t>yes</t>
        </is>
      </c>
      <c r="N75" s="4" t="inlineStr">
        <is>
          <t>possible via dust</t>
        </is>
      </c>
      <c r="O75" s="4" t="inlineStr">
        <is>
          <t>low to moderate</t>
        </is>
      </c>
      <c r="P75" s="4" t="inlineStr">
        <is>
          <t>possible</t>
        </is>
      </c>
      <c r="Q75" s="4" t="inlineStr">
        <is>
          <t>clean visible growth, correct moisture, remove wet porous materials if extensive</t>
        </is>
      </c>
      <c r="R75" s="4" t="inlineStr">
        <is>
          <t>patchy_growth, discoloration, moisture_associated</t>
        </is>
      </c>
      <c r="S75" s="4" t="inlineStr">
        <is>
          <t>Drechslera visual group</t>
        </is>
      </c>
      <c r="T75" s="4" t="inlineStr">
        <is>
          <t>moderate</t>
        </is>
      </c>
      <c r="U75" s="4" t="inlineStr">
        <is>
          <t>common indoor / allergen potential</t>
        </is>
      </c>
      <c r="V75" s="4" t="inlineStr">
        <is>
          <t>24-48 hrs with persistent humidity</t>
        </is>
      </c>
      <c r="W75" s="4" t="inlineStr">
        <is>
          <t>air and/or surface depending on context</t>
        </is>
      </c>
      <c r="X75" s="4" t="inlineStr">
        <is>
          <t>no</t>
        </is>
      </c>
      <c r="Y75" s="4" t="inlineStr">
        <is>
          <t>white, gray, powdery, patchy</t>
        </is>
      </c>
      <c r="Z75" s="4" t="inlineStr">
        <is>
          <t>porous materials preferred; non-porous growth usually on possible via dust</t>
        </is>
      </c>
    </row>
    <row r="76">
      <c r="A76" s="4" t="inlineStr">
        <is>
          <t>Drechslera hawaiiensis</t>
        </is>
      </c>
      <c r="B76" s="4" t="inlineStr">
        <is>
          <t>Drechslera</t>
        </is>
      </c>
      <c r="C76" s="4" t="inlineStr">
        <is>
          <t>Common indoor</t>
        </is>
      </c>
      <c r="D76" s="4" t="inlineStr">
        <is>
          <t>white</t>
        </is>
      </c>
      <c r="E76" s="4" t="inlineStr">
        <is>
          <t>gray</t>
        </is>
      </c>
      <c r="F76" s="4" t="inlineStr">
        <is>
          <t>powdery</t>
        </is>
      </c>
      <c r="G76" s="4" t="inlineStr">
        <is>
          <t>patchy</t>
        </is>
      </c>
      <c r="H76" s="4" t="inlineStr">
        <is>
          <t>drywall, wood, dust</t>
        </is>
      </c>
      <c r="I76" s="4" t="inlineStr">
        <is>
          <t>bathrooms, basements, HVAC, windows</t>
        </is>
      </c>
      <c r="J76" s="4" t="inlineStr">
        <is>
          <t>moderate</t>
        </is>
      </c>
      <c r="K76" s="4" t="inlineStr">
        <is>
          <t>60+</t>
        </is>
      </c>
      <c r="L76" s="4" t="inlineStr">
        <is>
          <t>15-32</t>
        </is>
      </c>
      <c r="M76" s="4" t="inlineStr">
        <is>
          <t>yes</t>
        </is>
      </c>
      <c r="N76" s="4" t="inlineStr">
        <is>
          <t>possible via dust</t>
        </is>
      </c>
      <c r="O76" s="4" t="inlineStr">
        <is>
          <t>low to moderate</t>
        </is>
      </c>
      <c r="P76" s="4" t="inlineStr">
        <is>
          <t>possible</t>
        </is>
      </c>
      <c r="Q76" s="4" t="inlineStr">
        <is>
          <t>clean visible growth, correct moisture, remove wet porous materials if extensive</t>
        </is>
      </c>
      <c r="R76" s="4" t="inlineStr">
        <is>
          <t>patchy_growth, discoloration, moisture_associated</t>
        </is>
      </c>
      <c r="S76" s="4" t="inlineStr">
        <is>
          <t>Drechslera visual group</t>
        </is>
      </c>
      <c r="T76" s="4" t="inlineStr">
        <is>
          <t>moderate</t>
        </is>
      </c>
      <c r="U76" s="4" t="inlineStr">
        <is>
          <t>common indoor / allergen potential</t>
        </is>
      </c>
      <c r="V76" s="4" t="inlineStr">
        <is>
          <t>24-48 hrs with persistent humidity</t>
        </is>
      </c>
      <c r="W76" s="4" t="inlineStr">
        <is>
          <t>air and/or surface depending on context</t>
        </is>
      </c>
      <c r="X76" s="4" t="inlineStr">
        <is>
          <t>no</t>
        </is>
      </c>
      <c r="Y76" s="4" t="inlineStr">
        <is>
          <t>white, gray, powdery, patchy</t>
        </is>
      </c>
      <c r="Z76" s="4" t="inlineStr">
        <is>
          <t>porous materials preferred; non-porous growth usually on possible via dust</t>
        </is>
      </c>
    </row>
    <row r="77">
      <c r="A77" s="4" t="inlineStr">
        <is>
          <t>Botrytis cinerea</t>
        </is>
      </c>
      <c r="B77" s="4" t="inlineStr">
        <is>
          <t>Botrytis</t>
        </is>
      </c>
      <c r="C77" s="4" t="inlineStr">
        <is>
          <t>Common indoor</t>
        </is>
      </c>
      <c r="D77" s="4" t="inlineStr">
        <is>
          <t>white</t>
        </is>
      </c>
      <c r="E77" s="4" t="inlineStr">
        <is>
          <t>gray</t>
        </is>
      </c>
      <c r="F77" s="4" t="inlineStr">
        <is>
          <t>powdery</t>
        </is>
      </c>
      <c r="G77" s="4" t="inlineStr">
        <is>
          <t>patchy</t>
        </is>
      </c>
      <c r="H77" s="4" t="inlineStr">
        <is>
          <t>drywall, wood, dust</t>
        </is>
      </c>
      <c r="I77" s="4" t="inlineStr">
        <is>
          <t>bathrooms, basements, HVAC, windows</t>
        </is>
      </c>
      <c r="J77" s="4" t="inlineStr">
        <is>
          <t>moderate</t>
        </is>
      </c>
      <c r="K77" s="4" t="inlineStr">
        <is>
          <t>60+</t>
        </is>
      </c>
      <c r="L77" s="4" t="inlineStr">
        <is>
          <t>15-32</t>
        </is>
      </c>
      <c r="M77" s="4" t="inlineStr">
        <is>
          <t>yes</t>
        </is>
      </c>
      <c r="N77" s="4" t="inlineStr">
        <is>
          <t>possible via dust</t>
        </is>
      </c>
      <c r="O77" s="4" t="inlineStr">
        <is>
          <t>low to moderate</t>
        </is>
      </c>
      <c r="P77" s="4" t="inlineStr">
        <is>
          <t>possible</t>
        </is>
      </c>
      <c r="Q77" s="4" t="inlineStr">
        <is>
          <t>clean visible growth, correct moisture, remove wet porous materials if extensive</t>
        </is>
      </c>
      <c r="R77" s="4" t="inlineStr">
        <is>
          <t>patchy_growth, discoloration, moisture_associated</t>
        </is>
      </c>
      <c r="S77" s="4" t="inlineStr">
        <is>
          <t>Botrytis visual group</t>
        </is>
      </c>
      <c r="T77" s="4" t="inlineStr">
        <is>
          <t>moderate</t>
        </is>
      </c>
      <c r="U77" s="4" t="inlineStr">
        <is>
          <t>common indoor / allergen potential</t>
        </is>
      </c>
      <c r="V77" s="4" t="inlineStr">
        <is>
          <t>24-48 hrs with persistent humidity</t>
        </is>
      </c>
      <c r="W77" s="4" t="inlineStr">
        <is>
          <t>air and/or surface depending on context</t>
        </is>
      </c>
      <c r="X77" s="4" t="inlineStr">
        <is>
          <t>no</t>
        </is>
      </c>
      <c r="Y77" s="4" t="inlineStr">
        <is>
          <t>white, gray, powdery, patchy</t>
        </is>
      </c>
      <c r="Z77" s="4" t="inlineStr">
        <is>
          <t>porous materials preferred; non-porous growth usually on possible via dust</t>
        </is>
      </c>
    </row>
    <row r="78">
      <c r="A78" s="4" t="inlineStr">
        <is>
          <t>Geotrichum candidum</t>
        </is>
      </c>
      <c r="B78" s="4" t="inlineStr">
        <is>
          <t>Geotrichum</t>
        </is>
      </c>
      <c r="C78" s="4" t="inlineStr">
        <is>
          <t>Common indoor</t>
        </is>
      </c>
      <c r="D78" s="4" t="inlineStr">
        <is>
          <t>white</t>
        </is>
      </c>
      <c r="E78" s="4" t="inlineStr">
        <is>
          <t>gray</t>
        </is>
      </c>
      <c r="F78" s="4" t="inlineStr">
        <is>
          <t>powdery</t>
        </is>
      </c>
      <c r="G78" s="4" t="inlineStr">
        <is>
          <t>patchy</t>
        </is>
      </c>
      <c r="H78" s="4" t="inlineStr">
        <is>
          <t>drywall, wood, dust</t>
        </is>
      </c>
      <c r="I78" s="4" t="inlineStr">
        <is>
          <t>bathrooms, basements, HVAC, windows</t>
        </is>
      </c>
      <c r="J78" s="4" t="inlineStr">
        <is>
          <t>moderate</t>
        </is>
      </c>
      <c r="K78" s="4" t="inlineStr">
        <is>
          <t>60+</t>
        </is>
      </c>
      <c r="L78" s="4" t="inlineStr">
        <is>
          <t>15-32</t>
        </is>
      </c>
      <c r="M78" s="4" t="inlineStr">
        <is>
          <t>yes</t>
        </is>
      </c>
      <c r="N78" s="4" t="inlineStr">
        <is>
          <t>possible via dust</t>
        </is>
      </c>
      <c r="O78" s="4" t="inlineStr">
        <is>
          <t>low to moderate</t>
        </is>
      </c>
      <c r="P78" s="4" t="inlineStr">
        <is>
          <t>possible</t>
        </is>
      </c>
      <c r="Q78" s="4" t="inlineStr">
        <is>
          <t>clean visible growth, correct moisture, remove wet porous materials if extensive</t>
        </is>
      </c>
      <c r="R78" s="4" t="inlineStr">
        <is>
          <t>patchy_growth, discoloration, moisture_associated</t>
        </is>
      </c>
      <c r="S78" s="4" t="inlineStr">
        <is>
          <t>Geotrichum visual group</t>
        </is>
      </c>
      <c r="T78" s="4" t="inlineStr">
        <is>
          <t>moderate</t>
        </is>
      </c>
      <c r="U78" s="4" t="inlineStr">
        <is>
          <t>common indoor / allergen potential</t>
        </is>
      </c>
      <c r="V78" s="4" t="inlineStr">
        <is>
          <t>24-48 hrs with persistent humidity</t>
        </is>
      </c>
      <c r="W78" s="4" t="inlineStr">
        <is>
          <t>air and/or surface depending on context</t>
        </is>
      </c>
      <c r="X78" s="4" t="inlineStr">
        <is>
          <t>no</t>
        </is>
      </c>
      <c r="Y78" s="4" t="inlineStr">
        <is>
          <t>white, gray, powdery, patchy</t>
        </is>
      </c>
      <c r="Z78" s="4" t="inlineStr">
        <is>
          <t>porous materials preferred; non-porous growth usually on possible via dust</t>
        </is>
      </c>
    </row>
    <row r="79">
      <c r="A79" s="4" t="inlineStr">
        <is>
          <t>Oidiodendron griseum</t>
        </is>
      </c>
      <c r="B79" s="4" t="inlineStr">
        <is>
          <t>Oidiodendron</t>
        </is>
      </c>
      <c r="C79" s="4" t="inlineStr">
        <is>
          <t>Common indoor</t>
        </is>
      </c>
      <c r="D79" s="4" t="inlineStr">
        <is>
          <t>white</t>
        </is>
      </c>
      <c r="E79" s="4" t="inlineStr">
        <is>
          <t>gray</t>
        </is>
      </c>
      <c r="F79" s="4" t="inlineStr">
        <is>
          <t>powdery</t>
        </is>
      </c>
      <c r="G79" s="4" t="inlineStr">
        <is>
          <t>patchy</t>
        </is>
      </c>
      <c r="H79" s="4" t="inlineStr">
        <is>
          <t>drywall, wood, dust</t>
        </is>
      </c>
      <c r="I79" s="4" t="inlineStr">
        <is>
          <t>bathrooms, basements, HVAC, windows</t>
        </is>
      </c>
      <c r="J79" s="4" t="inlineStr">
        <is>
          <t>moderate</t>
        </is>
      </c>
      <c r="K79" s="4" t="inlineStr">
        <is>
          <t>60+</t>
        </is>
      </c>
      <c r="L79" s="4" t="inlineStr">
        <is>
          <t>15-32</t>
        </is>
      </c>
      <c r="M79" s="4" t="inlineStr">
        <is>
          <t>yes</t>
        </is>
      </c>
      <c r="N79" s="4" t="inlineStr">
        <is>
          <t>possible via dust</t>
        </is>
      </c>
      <c r="O79" s="4" t="inlineStr">
        <is>
          <t>low to moderate</t>
        </is>
      </c>
      <c r="P79" s="4" t="inlineStr">
        <is>
          <t>possible</t>
        </is>
      </c>
      <c r="Q79" s="4" t="inlineStr">
        <is>
          <t>clean visible growth, correct moisture, remove wet porous materials if extensive</t>
        </is>
      </c>
      <c r="R79" s="4" t="inlineStr">
        <is>
          <t>patchy_growth, discoloration, moisture_associated</t>
        </is>
      </c>
      <c r="S79" s="4" t="inlineStr">
        <is>
          <t>Oidiodendron visual group</t>
        </is>
      </c>
      <c r="T79" s="4" t="inlineStr">
        <is>
          <t>moderate</t>
        </is>
      </c>
      <c r="U79" s="4" t="inlineStr">
        <is>
          <t>common indoor / allergen potential</t>
        </is>
      </c>
      <c r="V79" s="4" t="inlineStr">
        <is>
          <t>24-48 hrs with persistent humidity</t>
        </is>
      </c>
      <c r="W79" s="4" t="inlineStr">
        <is>
          <t>air and/or surface depending on context</t>
        </is>
      </c>
      <c r="X79" s="4" t="inlineStr">
        <is>
          <t>no</t>
        </is>
      </c>
      <c r="Y79" s="4" t="inlineStr">
        <is>
          <t>white, gray, powdery, patchy</t>
        </is>
      </c>
      <c r="Z79" s="4" t="inlineStr">
        <is>
          <t>porous materials preferred; non-porous growth usually on possible via dust</t>
        </is>
      </c>
    </row>
    <row r="80">
      <c r="A80" s="4" t="inlineStr">
        <is>
          <t>Myrothecium verrucaria</t>
        </is>
      </c>
      <c r="B80" s="4" t="inlineStr">
        <is>
          <t>Myrothecium</t>
        </is>
      </c>
      <c r="C80" s="4" t="inlineStr">
        <is>
          <t>Common indoor</t>
        </is>
      </c>
      <c r="D80" s="4" t="inlineStr">
        <is>
          <t>white</t>
        </is>
      </c>
      <c r="E80" s="4" t="inlineStr">
        <is>
          <t>gray</t>
        </is>
      </c>
      <c r="F80" s="4" t="inlineStr">
        <is>
          <t>powdery</t>
        </is>
      </c>
      <c r="G80" s="4" t="inlineStr">
        <is>
          <t>patchy</t>
        </is>
      </c>
      <c r="H80" s="4" t="inlineStr">
        <is>
          <t>drywall, wood, dust</t>
        </is>
      </c>
      <c r="I80" s="4" t="inlineStr">
        <is>
          <t>bathrooms, basements, HVAC, windows</t>
        </is>
      </c>
      <c r="J80" s="4" t="inlineStr">
        <is>
          <t>moderate</t>
        </is>
      </c>
      <c r="K80" s="4" t="inlineStr">
        <is>
          <t>60+</t>
        </is>
      </c>
      <c r="L80" s="4" t="inlineStr">
        <is>
          <t>15-32</t>
        </is>
      </c>
      <c r="M80" s="4" t="inlineStr">
        <is>
          <t>yes</t>
        </is>
      </c>
      <c r="N80" s="4" t="inlineStr">
        <is>
          <t>possible via dust</t>
        </is>
      </c>
      <c r="O80" s="4" t="inlineStr">
        <is>
          <t>low to moderate</t>
        </is>
      </c>
      <c r="P80" s="4" t="inlineStr">
        <is>
          <t>possible</t>
        </is>
      </c>
      <c r="Q80" s="4" t="inlineStr">
        <is>
          <t>clean visible growth, correct moisture, remove wet porous materials if extensive</t>
        </is>
      </c>
      <c r="R80" s="4" t="inlineStr">
        <is>
          <t>patchy_growth, discoloration, moisture_associated</t>
        </is>
      </c>
      <c r="S80" s="4" t="inlineStr">
        <is>
          <t>Myrothecium visual group</t>
        </is>
      </c>
      <c r="T80" s="4" t="inlineStr">
        <is>
          <t>moderate</t>
        </is>
      </c>
      <c r="U80" s="4" t="inlineStr">
        <is>
          <t>common indoor / allergen potential</t>
        </is>
      </c>
      <c r="V80" s="4" t="inlineStr">
        <is>
          <t>24-48 hrs with persistent humidity</t>
        </is>
      </c>
      <c r="W80" s="4" t="inlineStr">
        <is>
          <t>air and/or surface depending on context</t>
        </is>
      </c>
      <c r="X80" s="4" t="inlineStr">
        <is>
          <t>no</t>
        </is>
      </c>
      <c r="Y80" s="4" t="inlineStr">
        <is>
          <t>white, gray, powdery, patchy</t>
        </is>
      </c>
      <c r="Z80" s="4" t="inlineStr">
        <is>
          <t>porous materials preferred; non-porous growth usually on possible via dust</t>
        </is>
      </c>
    </row>
    <row r="81">
      <c r="A81" s="4" t="inlineStr">
        <is>
          <t>Scedosporium apiospermum</t>
        </is>
      </c>
      <c r="B81" s="4" t="inlineStr">
        <is>
          <t>Scedosporium</t>
        </is>
      </c>
      <c r="C81" s="4" t="inlineStr">
        <is>
          <t>Common indoor</t>
        </is>
      </c>
      <c r="D81" s="4" t="inlineStr">
        <is>
          <t>white</t>
        </is>
      </c>
      <c r="E81" s="4" t="inlineStr">
        <is>
          <t>gray</t>
        </is>
      </c>
      <c r="F81" s="4" t="inlineStr">
        <is>
          <t>powdery</t>
        </is>
      </c>
      <c r="G81" s="4" t="inlineStr">
        <is>
          <t>patchy</t>
        </is>
      </c>
      <c r="H81" s="4" t="inlineStr">
        <is>
          <t>drywall, wood, dust</t>
        </is>
      </c>
      <c r="I81" s="4" t="inlineStr">
        <is>
          <t>bathrooms, basements, HVAC, windows</t>
        </is>
      </c>
      <c r="J81" s="4" t="inlineStr">
        <is>
          <t>moderate</t>
        </is>
      </c>
      <c r="K81" s="4" t="inlineStr">
        <is>
          <t>60+</t>
        </is>
      </c>
      <c r="L81" s="4" t="inlineStr">
        <is>
          <t>15-32</t>
        </is>
      </c>
      <c r="M81" s="4" t="inlineStr">
        <is>
          <t>yes</t>
        </is>
      </c>
      <c r="N81" s="4" t="inlineStr">
        <is>
          <t>possible via dust</t>
        </is>
      </c>
      <c r="O81" s="4" t="inlineStr">
        <is>
          <t>low to moderate</t>
        </is>
      </c>
      <c r="P81" s="4" t="inlineStr">
        <is>
          <t>possible</t>
        </is>
      </c>
      <c r="Q81" s="4" t="inlineStr">
        <is>
          <t>clean visible growth, correct moisture, remove wet porous materials if extensive</t>
        </is>
      </c>
      <c r="R81" s="4" t="inlineStr">
        <is>
          <t>patchy_growth, discoloration, moisture_associated</t>
        </is>
      </c>
      <c r="S81" s="4" t="inlineStr">
        <is>
          <t>Scedosporium visual group</t>
        </is>
      </c>
      <c r="T81" s="4" t="inlineStr">
        <is>
          <t>moderate</t>
        </is>
      </c>
      <c r="U81" s="4" t="inlineStr">
        <is>
          <t>common indoor / allergen potential</t>
        </is>
      </c>
      <c r="V81" s="4" t="inlineStr">
        <is>
          <t>24-48 hrs with persistent humidity</t>
        </is>
      </c>
      <c r="W81" s="4" t="inlineStr">
        <is>
          <t>air and/or surface depending on context</t>
        </is>
      </c>
      <c r="X81" s="4" t="inlineStr">
        <is>
          <t>no</t>
        </is>
      </c>
      <c r="Y81" s="4" t="inlineStr">
        <is>
          <t>white, gray, powdery, patchy</t>
        </is>
      </c>
      <c r="Z81" s="4" t="inlineStr">
        <is>
          <t>porous materials preferred; non-porous growth usually on possible via dust</t>
        </is>
      </c>
    </row>
    <row r="82">
      <c r="A82" s="4" t="inlineStr">
        <is>
          <t>Syncephalastrum racemosum</t>
        </is>
      </c>
      <c r="B82" s="4" t="inlineStr">
        <is>
          <t>Syncephalastrum</t>
        </is>
      </c>
      <c r="C82" s="4" t="inlineStr">
        <is>
          <t>Common indoor</t>
        </is>
      </c>
      <c r="D82" s="4" t="inlineStr">
        <is>
          <t>white</t>
        </is>
      </c>
      <c r="E82" s="4" t="inlineStr">
        <is>
          <t>gray</t>
        </is>
      </c>
      <c r="F82" s="4" t="inlineStr">
        <is>
          <t>powdery</t>
        </is>
      </c>
      <c r="G82" s="4" t="inlineStr">
        <is>
          <t>patchy</t>
        </is>
      </c>
      <c r="H82" s="4" t="inlineStr">
        <is>
          <t>drywall, wood, dust</t>
        </is>
      </c>
      <c r="I82" s="4" t="inlineStr">
        <is>
          <t>bathrooms, basements, HVAC, windows</t>
        </is>
      </c>
      <c r="J82" s="4" t="inlineStr">
        <is>
          <t>moderate</t>
        </is>
      </c>
      <c r="K82" s="4" t="inlineStr">
        <is>
          <t>60+</t>
        </is>
      </c>
      <c r="L82" s="4" t="inlineStr">
        <is>
          <t>15-32</t>
        </is>
      </c>
      <c r="M82" s="4" t="inlineStr">
        <is>
          <t>yes</t>
        </is>
      </c>
      <c r="N82" s="4" t="inlineStr">
        <is>
          <t>possible via dust</t>
        </is>
      </c>
      <c r="O82" s="4" t="inlineStr">
        <is>
          <t>low to moderate</t>
        </is>
      </c>
      <c r="P82" s="4" t="inlineStr">
        <is>
          <t>possible</t>
        </is>
      </c>
      <c r="Q82" s="4" t="inlineStr">
        <is>
          <t>clean visible growth, correct moisture, remove wet porous materials if extensive</t>
        </is>
      </c>
      <c r="R82" s="4" t="inlineStr">
        <is>
          <t>patchy_growth, discoloration, moisture_associated</t>
        </is>
      </c>
      <c r="S82" s="4" t="inlineStr">
        <is>
          <t>Zygomycete-like fast-growth group</t>
        </is>
      </c>
      <c r="T82" s="4" t="inlineStr">
        <is>
          <t>moderate</t>
        </is>
      </c>
      <c r="U82" s="4" t="inlineStr">
        <is>
          <t>common indoor / allergen potential</t>
        </is>
      </c>
      <c r="V82" s="4" t="inlineStr">
        <is>
          <t>24-48 hrs with persistent humidity</t>
        </is>
      </c>
      <c r="W82" s="4" t="inlineStr">
        <is>
          <t>air and/or surface depending on context</t>
        </is>
      </c>
      <c r="X82" s="4" t="inlineStr">
        <is>
          <t>no</t>
        </is>
      </c>
      <c r="Y82" s="4" t="inlineStr">
        <is>
          <t>white, gray, powdery, patchy</t>
        </is>
      </c>
      <c r="Z82" s="4" t="inlineStr">
        <is>
          <t>porous materials preferred; non-porous growth usually on possible via dust</t>
        </is>
      </c>
    </row>
    <row r="83">
      <c r="A83" s="4" t="inlineStr">
        <is>
          <t>Torula herbarum</t>
        </is>
      </c>
      <c r="B83" s="4" t="inlineStr">
        <is>
          <t>Torula</t>
        </is>
      </c>
      <c r="C83" s="4" t="inlineStr">
        <is>
          <t>Common indoor</t>
        </is>
      </c>
      <c r="D83" s="4" t="inlineStr">
        <is>
          <t>white</t>
        </is>
      </c>
      <c r="E83" s="4" t="inlineStr">
        <is>
          <t>gray</t>
        </is>
      </c>
      <c r="F83" s="4" t="inlineStr">
        <is>
          <t>powdery</t>
        </is>
      </c>
      <c r="G83" s="4" t="inlineStr">
        <is>
          <t>patchy</t>
        </is>
      </c>
      <c r="H83" s="4" t="inlineStr">
        <is>
          <t>drywall, wood, dust</t>
        </is>
      </c>
      <c r="I83" s="4" t="inlineStr">
        <is>
          <t>bathrooms, basements, HVAC, windows</t>
        </is>
      </c>
      <c r="J83" s="4" t="inlineStr">
        <is>
          <t>moderate</t>
        </is>
      </c>
      <c r="K83" s="4" t="inlineStr">
        <is>
          <t>60+</t>
        </is>
      </c>
      <c r="L83" s="4" t="inlineStr">
        <is>
          <t>15-32</t>
        </is>
      </c>
      <c r="M83" s="4" t="inlineStr">
        <is>
          <t>yes</t>
        </is>
      </c>
      <c r="N83" s="4" t="inlineStr">
        <is>
          <t>possible via dust</t>
        </is>
      </c>
      <c r="O83" s="4" t="inlineStr">
        <is>
          <t>low to moderate</t>
        </is>
      </c>
      <c r="P83" s="4" t="inlineStr">
        <is>
          <t>possible</t>
        </is>
      </c>
      <c r="Q83" s="4" t="inlineStr">
        <is>
          <t>clean visible growth, correct moisture, remove wet porous materials if extensive</t>
        </is>
      </c>
      <c r="R83" s="4" t="inlineStr">
        <is>
          <t>patchy_growth, discoloration, moisture_associated</t>
        </is>
      </c>
      <c r="S83" s="4" t="inlineStr">
        <is>
          <t>Torula visual group</t>
        </is>
      </c>
      <c r="T83" s="4" t="inlineStr">
        <is>
          <t>moderate</t>
        </is>
      </c>
      <c r="U83" s="4" t="inlineStr">
        <is>
          <t>common indoor / allergen potential</t>
        </is>
      </c>
      <c r="V83" s="4" t="inlineStr">
        <is>
          <t>24-48 hrs with persistent humidity</t>
        </is>
      </c>
      <c r="W83" s="4" t="inlineStr">
        <is>
          <t>air and/or surface depending on context</t>
        </is>
      </c>
      <c r="X83" s="4" t="inlineStr">
        <is>
          <t>no</t>
        </is>
      </c>
      <c r="Y83" s="4" t="inlineStr">
        <is>
          <t>white, gray, powdery, patchy</t>
        </is>
      </c>
      <c r="Z83" s="4" t="inlineStr">
        <is>
          <t>porous materials preferred; non-porous growth usually on possible via dust</t>
        </is>
      </c>
    </row>
    <row r="84">
      <c r="A84" s="4" t="inlineStr">
        <is>
          <t>Verticillium dahliae</t>
        </is>
      </c>
      <c r="B84" s="4" t="inlineStr">
        <is>
          <t>Verticillium</t>
        </is>
      </c>
      <c r="C84" s="4" t="inlineStr">
        <is>
          <t>Common indoor</t>
        </is>
      </c>
      <c r="D84" s="4" t="inlineStr">
        <is>
          <t>white</t>
        </is>
      </c>
      <c r="E84" s="4" t="inlineStr">
        <is>
          <t>gray</t>
        </is>
      </c>
      <c r="F84" s="4" t="inlineStr">
        <is>
          <t>powdery</t>
        </is>
      </c>
      <c r="G84" s="4" t="inlineStr">
        <is>
          <t>patchy</t>
        </is>
      </c>
      <c r="H84" s="4" t="inlineStr">
        <is>
          <t>drywall, wood, dust</t>
        </is>
      </c>
      <c r="I84" s="4" t="inlineStr">
        <is>
          <t>bathrooms, basements, HVAC, windows</t>
        </is>
      </c>
      <c r="J84" s="4" t="inlineStr">
        <is>
          <t>moderate</t>
        </is>
      </c>
      <c r="K84" s="4" t="inlineStr">
        <is>
          <t>60+</t>
        </is>
      </c>
      <c r="L84" s="4" t="inlineStr">
        <is>
          <t>15-32</t>
        </is>
      </c>
      <c r="M84" s="4" t="inlineStr">
        <is>
          <t>yes</t>
        </is>
      </c>
      <c r="N84" s="4" t="inlineStr">
        <is>
          <t>possible via dust</t>
        </is>
      </c>
      <c r="O84" s="4" t="inlineStr">
        <is>
          <t>low to moderate</t>
        </is>
      </c>
      <c r="P84" s="4" t="inlineStr">
        <is>
          <t>possible</t>
        </is>
      </c>
      <c r="Q84" s="4" t="inlineStr">
        <is>
          <t>clean visible growth, correct moisture, remove wet porous materials if extensive</t>
        </is>
      </c>
      <c r="R84" s="4" t="inlineStr">
        <is>
          <t>patchy_growth, discoloration, moisture_associated</t>
        </is>
      </c>
      <c r="S84" s="4" t="inlineStr">
        <is>
          <t>Aspergillus/Penicillium-like</t>
        </is>
      </c>
      <c r="T84" s="4" t="inlineStr">
        <is>
          <t>moderate</t>
        </is>
      </c>
      <c r="U84" s="4" t="inlineStr">
        <is>
          <t>common indoor / allergen potential</t>
        </is>
      </c>
      <c r="V84" s="4" t="inlineStr">
        <is>
          <t>24-48 hrs with persistent humidity</t>
        </is>
      </c>
      <c r="W84" s="4" t="inlineStr">
        <is>
          <t>air and/or surface depending on context</t>
        </is>
      </c>
      <c r="X84" s="4" t="inlineStr">
        <is>
          <t>no</t>
        </is>
      </c>
      <c r="Y84" s="4" t="inlineStr">
        <is>
          <t>white, gray, powdery, patchy</t>
        </is>
      </c>
      <c r="Z84" s="4" t="inlineStr">
        <is>
          <t>porous materials preferred; non-porous growth usually on possible via dust</t>
        </is>
      </c>
    </row>
    <row r="85">
      <c r="A85" s="4" t="inlineStr">
        <is>
          <t>Verticillium albo-atrum</t>
        </is>
      </c>
      <c r="B85" s="4" t="inlineStr">
        <is>
          <t>Verticillium</t>
        </is>
      </c>
      <c r="C85" s="4" t="inlineStr">
        <is>
          <t>Common indoor</t>
        </is>
      </c>
      <c r="D85" s="4" t="inlineStr">
        <is>
          <t>white</t>
        </is>
      </c>
      <c r="E85" s="4" t="inlineStr">
        <is>
          <t>gray</t>
        </is>
      </c>
      <c r="F85" s="4" t="inlineStr">
        <is>
          <t>powdery</t>
        </is>
      </c>
      <c r="G85" s="4" t="inlineStr">
        <is>
          <t>patchy</t>
        </is>
      </c>
      <c r="H85" s="4" t="inlineStr">
        <is>
          <t>drywall, wood, dust</t>
        </is>
      </c>
      <c r="I85" s="4" t="inlineStr">
        <is>
          <t>bathrooms, basements, HVAC, windows</t>
        </is>
      </c>
      <c r="J85" s="4" t="inlineStr">
        <is>
          <t>moderate</t>
        </is>
      </c>
      <c r="K85" s="4" t="inlineStr">
        <is>
          <t>60+</t>
        </is>
      </c>
      <c r="L85" s="4" t="inlineStr">
        <is>
          <t>15-32</t>
        </is>
      </c>
      <c r="M85" s="4" t="inlineStr">
        <is>
          <t>yes</t>
        </is>
      </c>
      <c r="N85" s="4" t="inlineStr">
        <is>
          <t>possible via dust</t>
        </is>
      </c>
      <c r="O85" s="4" t="inlineStr">
        <is>
          <t>low to moderate</t>
        </is>
      </c>
      <c r="P85" s="4" t="inlineStr">
        <is>
          <t>possible</t>
        </is>
      </c>
      <c r="Q85" s="4" t="inlineStr">
        <is>
          <t>clean visible growth, correct moisture, remove wet porous materials if extensive</t>
        </is>
      </c>
      <c r="R85" s="4" t="inlineStr">
        <is>
          <t>patchy_growth, discoloration, moisture_associated</t>
        </is>
      </c>
      <c r="S85" s="4" t="inlineStr">
        <is>
          <t>Aspergillus/Penicillium-like</t>
        </is>
      </c>
      <c r="T85" s="4" t="inlineStr">
        <is>
          <t>moderate</t>
        </is>
      </c>
      <c r="U85" s="4" t="inlineStr">
        <is>
          <t>common indoor / allergen potential</t>
        </is>
      </c>
      <c r="V85" s="4" t="inlineStr">
        <is>
          <t>24-48 hrs with persistent humidity</t>
        </is>
      </c>
      <c r="W85" s="4" t="inlineStr">
        <is>
          <t>air and/or surface depending on context</t>
        </is>
      </c>
      <c r="X85" s="4" t="inlineStr">
        <is>
          <t>no</t>
        </is>
      </c>
      <c r="Y85" s="4" t="inlineStr">
        <is>
          <t>white, gray, powdery, patchy</t>
        </is>
      </c>
      <c r="Z85" s="4" t="inlineStr">
        <is>
          <t>porous materials preferred; non-porous growth usually on possible via dust</t>
        </is>
      </c>
    </row>
    <row r="86">
      <c r="A86" s="4" t="inlineStr">
        <is>
          <t>Cunninghamella bertholletiae</t>
        </is>
      </c>
      <c r="B86" s="4" t="inlineStr">
        <is>
          <t>Cunninghamella</t>
        </is>
      </c>
      <c r="C86" s="4" t="inlineStr">
        <is>
          <t>Common indoor</t>
        </is>
      </c>
      <c r="D86" s="4" t="inlineStr">
        <is>
          <t>white</t>
        </is>
      </c>
      <c r="E86" s="4" t="inlineStr">
        <is>
          <t>gray</t>
        </is>
      </c>
      <c r="F86" s="4" t="inlineStr">
        <is>
          <t>powdery</t>
        </is>
      </c>
      <c r="G86" s="4" t="inlineStr">
        <is>
          <t>patchy</t>
        </is>
      </c>
      <c r="H86" s="4" t="inlineStr">
        <is>
          <t>drywall, wood, dust</t>
        </is>
      </c>
      <c r="I86" s="4" t="inlineStr">
        <is>
          <t>bathrooms, basements, HVAC, windows</t>
        </is>
      </c>
      <c r="J86" s="4" t="inlineStr">
        <is>
          <t>moderate</t>
        </is>
      </c>
      <c r="K86" s="4" t="inlineStr">
        <is>
          <t>60+</t>
        </is>
      </c>
      <c r="L86" s="4" t="inlineStr">
        <is>
          <t>15-32</t>
        </is>
      </c>
      <c r="M86" s="4" t="inlineStr">
        <is>
          <t>yes</t>
        </is>
      </c>
      <c r="N86" s="4" t="inlineStr">
        <is>
          <t>possible via dust</t>
        </is>
      </c>
      <c r="O86" s="4" t="inlineStr">
        <is>
          <t>low to moderate</t>
        </is>
      </c>
      <c r="P86" s="4" t="inlineStr">
        <is>
          <t>possible</t>
        </is>
      </c>
      <c r="Q86" s="4" t="inlineStr">
        <is>
          <t>clean visible growth, correct moisture, remove wet porous materials if extensive</t>
        </is>
      </c>
      <c r="R86" s="4" t="inlineStr">
        <is>
          <t>patchy_growth, discoloration, moisture_associated</t>
        </is>
      </c>
      <c r="S86" s="4" t="inlineStr">
        <is>
          <t>Zygomycete-like fast-growth group</t>
        </is>
      </c>
      <c r="T86" s="4" t="inlineStr">
        <is>
          <t>moderate</t>
        </is>
      </c>
      <c r="U86" s="4" t="inlineStr">
        <is>
          <t>common indoor / allergen potential</t>
        </is>
      </c>
      <c r="V86" s="4" t="inlineStr">
        <is>
          <t>24-48 hrs with persistent humidity</t>
        </is>
      </c>
      <c r="W86" s="4" t="inlineStr">
        <is>
          <t>air and/or surface depending on context</t>
        </is>
      </c>
      <c r="X86" s="4" t="inlineStr">
        <is>
          <t>no</t>
        </is>
      </c>
      <c r="Y86" s="4" t="inlineStr">
        <is>
          <t>white, gray, powdery, patchy</t>
        </is>
      </c>
      <c r="Z86" s="4" t="inlineStr">
        <is>
          <t>porous materials preferred; non-porous growth usually on possible via dust</t>
        </is>
      </c>
    </row>
    <row r="87">
      <c r="A87" s="4" t="inlineStr">
        <is>
          <t>Eurotium amstelodami</t>
        </is>
      </c>
      <c r="B87" s="4" t="inlineStr">
        <is>
          <t>Eurotium</t>
        </is>
      </c>
      <c r="C87" s="4" t="inlineStr">
        <is>
          <t>Common indoor</t>
        </is>
      </c>
      <c r="D87" s="4" t="inlineStr">
        <is>
          <t>white</t>
        </is>
      </c>
      <c r="E87" s="4" t="inlineStr">
        <is>
          <t>gray</t>
        </is>
      </c>
      <c r="F87" s="4" t="inlineStr">
        <is>
          <t>powdery</t>
        </is>
      </c>
      <c r="G87" s="4" t="inlineStr">
        <is>
          <t>patchy</t>
        </is>
      </c>
      <c r="H87" s="4" t="inlineStr">
        <is>
          <t>drywall, wood, dust</t>
        </is>
      </c>
      <c r="I87" s="4" t="inlineStr">
        <is>
          <t>bathrooms, basements, HVAC, windows</t>
        </is>
      </c>
      <c r="J87" s="4" t="inlineStr">
        <is>
          <t>moderate</t>
        </is>
      </c>
      <c r="K87" s="4" t="inlineStr">
        <is>
          <t>60+</t>
        </is>
      </c>
      <c r="L87" s="4" t="inlineStr">
        <is>
          <t>15-32</t>
        </is>
      </c>
      <c r="M87" s="4" t="inlineStr">
        <is>
          <t>yes</t>
        </is>
      </c>
      <c r="N87" s="4" t="inlineStr">
        <is>
          <t>possible via dust</t>
        </is>
      </c>
      <c r="O87" s="4" t="inlineStr">
        <is>
          <t>low to moderate</t>
        </is>
      </c>
      <c r="P87" s="4" t="inlineStr">
        <is>
          <t>possible</t>
        </is>
      </c>
      <c r="Q87" s="4" t="inlineStr">
        <is>
          <t>clean visible growth, correct moisture, remove wet porous materials if extensive</t>
        </is>
      </c>
      <c r="R87" s="4" t="inlineStr">
        <is>
          <t>patchy_growth, discoloration, moisture_associated</t>
        </is>
      </c>
      <c r="S87" s="4" t="inlineStr">
        <is>
          <t>Eurotium visual group</t>
        </is>
      </c>
      <c r="T87" s="4" t="inlineStr">
        <is>
          <t>moderate</t>
        </is>
      </c>
      <c r="U87" s="4" t="inlineStr">
        <is>
          <t>common indoor / allergen potential</t>
        </is>
      </c>
      <c r="V87" s="4" t="inlineStr">
        <is>
          <t>24-48 hrs with persistent humidity</t>
        </is>
      </c>
      <c r="W87" s="4" t="inlineStr">
        <is>
          <t>air and/or surface depending on context</t>
        </is>
      </c>
      <c r="X87" s="4" t="inlineStr">
        <is>
          <t>no</t>
        </is>
      </c>
      <c r="Y87" s="4" t="inlineStr">
        <is>
          <t>white, gray, powdery, patchy</t>
        </is>
      </c>
      <c r="Z87" s="4" t="inlineStr">
        <is>
          <t>porous materials preferred; non-porous growth usually on possible via dust</t>
        </is>
      </c>
    </row>
    <row r="88">
      <c r="A88" s="4" t="inlineStr">
        <is>
          <t>Humicola grisea</t>
        </is>
      </c>
      <c r="B88" s="4" t="inlineStr">
        <is>
          <t>Humicola</t>
        </is>
      </c>
      <c r="C88" s="4" t="inlineStr">
        <is>
          <t>Common indoor</t>
        </is>
      </c>
      <c r="D88" s="4" t="inlineStr">
        <is>
          <t>white</t>
        </is>
      </c>
      <c r="E88" s="4" t="inlineStr">
        <is>
          <t>gray</t>
        </is>
      </c>
      <c r="F88" s="4" t="inlineStr">
        <is>
          <t>powdery</t>
        </is>
      </c>
      <c r="G88" s="4" t="inlineStr">
        <is>
          <t>patchy</t>
        </is>
      </c>
      <c r="H88" s="4" t="inlineStr">
        <is>
          <t>drywall, wood, dust</t>
        </is>
      </c>
      <c r="I88" s="4" t="inlineStr">
        <is>
          <t>bathrooms, basements, HVAC, windows</t>
        </is>
      </c>
      <c r="J88" s="4" t="inlineStr">
        <is>
          <t>moderate</t>
        </is>
      </c>
      <c r="K88" s="4" t="inlineStr">
        <is>
          <t>60+</t>
        </is>
      </c>
      <c r="L88" s="4" t="inlineStr">
        <is>
          <t>15-32</t>
        </is>
      </c>
      <c r="M88" s="4" t="inlineStr">
        <is>
          <t>yes</t>
        </is>
      </c>
      <c r="N88" s="4" t="inlineStr">
        <is>
          <t>possible via dust</t>
        </is>
      </c>
      <c r="O88" s="4" t="inlineStr">
        <is>
          <t>low to moderate</t>
        </is>
      </c>
      <c r="P88" s="4" t="inlineStr">
        <is>
          <t>possible</t>
        </is>
      </c>
      <c r="Q88" s="4" t="inlineStr">
        <is>
          <t>clean visible growth, correct moisture, remove wet porous materials if extensive</t>
        </is>
      </c>
      <c r="R88" s="4" t="inlineStr">
        <is>
          <t>patchy_growth, discoloration, moisture_associated</t>
        </is>
      </c>
      <c r="S88" s="4" t="inlineStr">
        <is>
          <t>Humicola visual group</t>
        </is>
      </c>
      <c r="T88" s="4" t="inlineStr">
        <is>
          <t>moderate</t>
        </is>
      </c>
      <c r="U88" s="4" t="inlineStr">
        <is>
          <t>common indoor / allergen potential</t>
        </is>
      </c>
      <c r="V88" s="4" t="inlineStr">
        <is>
          <t>24-48 hrs with persistent humidity</t>
        </is>
      </c>
      <c r="W88" s="4" t="inlineStr">
        <is>
          <t>air and/or surface depending on context</t>
        </is>
      </c>
      <c r="X88" s="4" t="inlineStr">
        <is>
          <t>no</t>
        </is>
      </c>
      <c r="Y88" s="4" t="inlineStr">
        <is>
          <t>white, gray, powdery, patchy</t>
        </is>
      </c>
      <c r="Z88" s="4" t="inlineStr">
        <is>
          <t>porous materials preferred; non-porous growth usually on possible via dust</t>
        </is>
      </c>
    </row>
    <row r="89">
      <c r="A89" s="4" t="inlineStr">
        <is>
          <t>Lichtheimia corymbifera</t>
        </is>
      </c>
      <c r="B89" s="4" t="inlineStr">
        <is>
          <t>Lichtheimia</t>
        </is>
      </c>
      <c r="C89" s="4" t="inlineStr">
        <is>
          <t>Common indoor</t>
        </is>
      </c>
      <c r="D89" s="4" t="inlineStr">
        <is>
          <t>white</t>
        </is>
      </c>
      <c r="E89" s="4" t="inlineStr">
        <is>
          <t>gray</t>
        </is>
      </c>
      <c r="F89" s="4" t="inlineStr">
        <is>
          <t>powdery</t>
        </is>
      </c>
      <c r="G89" s="4" t="inlineStr">
        <is>
          <t>patchy</t>
        </is>
      </c>
      <c r="H89" s="4" t="inlineStr">
        <is>
          <t>drywall, wood, dust</t>
        </is>
      </c>
      <c r="I89" s="4" t="inlineStr">
        <is>
          <t>bathrooms, basements, HVAC, windows</t>
        </is>
      </c>
      <c r="J89" s="4" t="inlineStr">
        <is>
          <t>moderate</t>
        </is>
      </c>
      <c r="K89" s="4" t="inlineStr">
        <is>
          <t>60+</t>
        </is>
      </c>
      <c r="L89" s="4" t="inlineStr">
        <is>
          <t>15-32</t>
        </is>
      </c>
      <c r="M89" s="4" t="inlineStr">
        <is>
          <t>yes</t>
        </is>
      </c>
      <c r="N89" s="4" t="inlineStr">
        <is>
          <t>possible via dust</t>
        </is>
      </c>
      <c r="O89" s="4" t="inlineStr">
        <is>
          <t>low to moderate</t>
        </is>
      </c>
      <c r="P89" s="4" t="inlineStr">
        <is>
          <t>possible</t>
        </is>
      </c>
      <c r="Q89" s="4" t="inlineStr">
        <is>
          <t>clean visible growth, correct moisture, remove wet porous materials if extensive</t>
        </is>
      </c>
      <c r="R89" s="4" t="inlineStr">
        <is>
          <t>patchy_growth, discoloration, moisture_associated</t>
        </is>
      </c>
      <c r="S89" s="4" t="inlineStr">
        <is>
          <t>Lichtheimia visual group</t>
        </is>
      </c>
      <c r="T89" s="4" t="inlineStr">
        <is>
          <t>moderate</t>
        </is>
      </c>
      <c r="U89" s="4" t="inlineStr">
        <is>
          <t>common indoor / allergen potential</t>
        </is>
      </c>
      <c r="V89" s="4" t="inlineStr">
        <is>
          <t>24-48 hrs with persistent humidity</t>
        </is>
      </c>
      <c r="W89" s="4" t="inlineStr">
        <is>
          <t>air and/or surface depending on context</t>
        </is>
      </c>
      <c r="X89" s="4" t="inlineStr">
        <is>
          <t>no</t>
        </is>
      </c>
      <c r="Y89" s="4" t="inlineStr">
        <is>
          <t>white, gray, powdery, patchy</t>
        </is>
      </c>
      <c r="Z89" s="4" t="inlineStr">
        <is>
          <t>porous materials preferred; non-porous growth usually on possible via dust</t>
        </is>
      </c>
    </row>
    <row r="90">
      <c r="A90" s="4" t="inlineStr">
        <is>
          <t>Mortierella alpina</t>
        </is>
      </c>
      <c r="B90" s="4" t="inlineStr">
        <is>
          <t>Mortierella</t>
        </is>
      </c>
      <c r="C90" s="4" t="inlineStr">
        <is>
          <t>Common indoor</t>
        </is>
      </c>
      <c r="D90" s="4" t="inlineStr">
        <is>
          <t>white</t>
        </is>
      </c>
      <c r="E90" s="4" t="inlineStr">
        <is>
          <t>gray</t>
        </is>
      </c>
      <c r="F90" s="4" t="inlineStr">
        <is>
          <t>powdery</t>
        </is>
      </c>
      <c r="G90" s="4" t="inlineStr">
        <is>
          <t>patchy</t>
        </is>
      </c>
      <c r="H90" s="4" t="inlineStr">
        <is>
          <t>drywall, wood, dust</t>
        </is>
      </c>
      <c r="I90" s="4" t="inlineStr">
        <is>
          <t>bathrooms, basements, HVAC, windows</t>
        </is>
      </c>
      <c r="J90" s="4" t="inlineStr">
        <is>
          <t>moderate</t>
        </is>
      </c>
      <c r="K90" s="4" t="inlineStr">
        <is>
          <t>60+</t>
        </is>
      </c>
      <c r="L90" s="4" t="inlineStr">
        <is>
          <t>15-32</t>
        </is>
      </c>
      <c r="M90" s="4" t="inlineStr">
        <is>
          <t>yes</t>
        </is>
      </c>
      <c r="N90" s="4" t="inlineStr">
        <is>
          <t>possible via dust</t>
        </is>
      </c>
      <c r="O90" s="4" t="inlineStr">
        <is>
          <t>low to moderate</t>
        </is>
      </c>
      <c r="P90" s="4" t="inlineStr">
        <is>
          <t>possible</t>
        </is>
      </c>
      <c r="Q90" s="4" t="inlineStr">
        <is>
          <t>clean visible growth, correct moisture, remove wet porous materials if extensive</t>
        </is>
      </c>
      <c r="R90" s="4" t="inlineStr">
        <is>
          <t>patchy_growth, discoloration, moisture_associated</t>
        </is>
      </c>
      <c r="S90" s="4" t="inlineStr">
        <is>
          <t>Mortierella visual group</t>
        </is>
      </c>
      <c r="T90" s="4" t="inlineStr">
        <is>
          <t>moderate</t>
        </is>
      </c>
      <c r="U90" s="4" t="inlineStr">
        <is>
          <t>common indoor / allergen potential</t>
        </is>
      </c>
      <c r="V90" s="4" t="inlineStr">
        <is>
          <t>24-48 hrs with persistent humidity</t>
        </is>
      </c>
      <c r="W90" s="4" t="inlineStr">
        <is>
          <t>air and/or surface depending on context</t>
        </is>
      </c>
      <c r="X90" s="4" t="inlineStr">
        <is>
          <t>no</t>
        </is>
      </c>
      <c r="Y90" s="4" t="inlineStr">
        <is>
          <t>white, gray, powdery, patchy</t>
        </is>
      </c>
      <c r="Z90" s="4" t="inlineStr">
        <is>
          <t>porous materials preferred; non-porous growth usually on possible via dust</t>
        </is>
      </c>
    </row>
    <row r="91">
      <c r="A91" s="4" t="inlineStr">
        <is>
          <t>Pestalotiopsis microspora</t>
        </is>
      </c>
      <c r="B91" s="4" t="inlineStr">
        <is>
          <t>Pestalotiopsis</t>
        </is>
      </c>
      <c r="C91" s="4" t="inlineStr">
        <is>
          <t>Common indoor</t>
        </is>
      </c>
      <c r="D91" s="4" t="inlineStr">
        <is>
          <t>white</t>
        </is>
      </c>
      <c r="E91" s="4" t="inlineStr">
        <is>
          <t>gray</t>
        </is>
      </c>
      <c r="F91" s="4" t="inlineStr">
        <is>
          <t>powdery</t>
        </is>
      </c>
      <c r="G91" s="4" t="inlineStr">
        <is>
          <t>patchy</t>
        </is>
      </c>
      <c r="H91" s="4" t="inlineStr">
        <is>
          <t>drywall, wood, dust</t>
        </is>
      </c>
      <c r="I91" s="4" t="inlineStr">
        <is>
          <t>bathrooms, basements, HVAC, windows</t>
        </is>
      </c>
      <c r="J91" s="4" t="inlineStr">
        <is>
          <t>moderate</t>
        </is>
      </c>
      <c r="K91" s="4" t="inlineStr">
        <is>
          <t>60+</t>
        </is>
      </c>
      <c r="L91" s="4" t="inlineStr">
        <is>
          <t>15-32</t>
        </is>
      </c>
      <c r="M91" s="4" t="inlineStr">
        <is>
          <t>yes</t>
        </is>
      </c>
      <c r="N91" s="4" t="inlineStr">
        <is>
          <t>possible via dust</t>
        </is>
      </c>
      <c r="O91" s="4" t="inlineStr">
        <is>
          <t>low to moderate</t>
        </is>
      </c>
      <c r="P91" s="4" t="inlineStr">
        <is>
          <t>possible</t>
        </is>
      </c>
      <c r="Q91" s="4" t="inlineStr">
        <is>
          <t>clean visible growth, correct moisture, remove wet porous materials if extensive</t>
        </is>
      </c>
      <c r="R91" s="4" t="inlineStr">
        <is>
          <t>patchy_growth, discoloration, moisture_associated</t>
        </is>
      </c>
      <c r="S91" s="4" t="inlineStr">
        <is>
          <t>Pestalotiopsis visual group</t>
        </is>
      </c>
      <c r="T91" s="4" t="inlineStr">
        <is>
          <t>moderate</t>
        </is>
      </c>
      <c r="U91" s="4" t="inlineStr">
        <is>
          <t>common indoor / allergen potential</t>
        </is>
      </c>
      <c r="V91" s="4" t="inlineStr">
        <is>
          <t>24-48 hrs with persistent humidity</t>
        </is>
      </c>
      <c r="W91" s="4" t="inlineStr">
        <is>
          <t>air and/or surface depending on context</t>
        </is>
      </c>
      <c r="X91" s="4" t="inlineStr">
        <is>
          <t>no</t>
        </is>
      </c>
      <c r="Y91" s="4" t="inlineStr">
        <is>
          <t>white, gray, powdery, patchy</t>
        </is>
      </c>
      <c r="Z91" s="4" t="inlineStr">
        <is>
          <t>porous materials preferred; non-porous growth usually on possible via dust</t>
        </is>
      </c>
    </row>
    <row r="92">
      <c r="A92" s="4" t="inlineStr">
        <is>
          <t>Phialophora verrucosa</t>
        </is>
      </c>
      <c r="B92" s="4" t="inlineStr">
        <is>
          <t>Phialophora</t>
        </is>
      </c>
      <c r="C92" s="4" t="inlineStr">
        <is>
          <t>Common indoor</t>
        </is>
      </c>
      <c r="D92" s="4" t="inlineStr">
        <is>
          <t>white</t>
        </is>
      </c>
      <c r="E92" s="4" t="inlineStr">
        <is>
          <t>gray</t>
        </is>
      </c>
      <c r="F92" s="4" t="inlineStr">
        <is>
          <t>powdery</t>
        </is>
      </c>
      <c r="G92" s="4" t="inlineStr">
        <is>
          <t>patchy</t>
        </is>
      </c>
      <c r="H92" s="4" t="inlineStr">
        <is>
          <t>drywall, wood, dust</t>
        </is>
      </c>
      <c r="I92" s="4" t="inlineStr">
        <is>
          <t>bathrooms, basements, HVAC, windows</t>
        </is>
      </c>
      <c r="J92" s="4" t="inlineStr">
        <is>
          <t>moderate</t>
        </is>
      </c>
      <c r="K92" s="4" t="inlineStr">
        <is>
          <t>60+</t>
        </is>
      </c>
      <c r="L92" s="4" t="inlineStr">
        <is>
          <t>15-32</t>
        </is>
      </c>
      <c r="M92" s="4" t="inlineStr">
        <is>
          <t>yes</t>
        </is>
      </c>
      <c r="N92" s="4" t="inlineStr">
        <is>
          <t>possible via dust</t>
        </is>
      </c>
      <c r="O92" s="4" t="inlineStr">
        <is>
          <t>low to moderate</t>
        </is>
      </c>
      <c r="P92" s="4" t="inlineStr">
        <is>
          <t>possible</t>
        </is>
      </c>
      <c r="Q92" s="4" t="inlineStr">
        <is>
          <t>clean visible growth, correct moisture, remove wet porous materials if extensive</t>
        </is>
      </c>
      <c r="R92" s="4" t="inlineStr">
        <is>
          <t>patchy_growth, discoloration, moisture_associated</t>
        </is>
      </c>
      <c r="S92" s="4" t="inlineStr">
        <is>
          <t>Aspergillus/Penicillium-like</t>
        </is>
      </c>
      <c r="T92" s="4" t="inlineStr">
        <is>
          <t>moderate</t>
        </is>
      </c>
      <c r="U92" s="4" t="inlineStr">
        <is>
          <t>common indoor / allergen potential</t>
        </is>
      </c>
      <c r="V92" s="4" t="inlineStr">
        <is>
          <t>24-48 hrs with persistent humidity</t>
        </is>
      </c>
      <c r="W92" s="4" t="inlineStr">
        <is>
          <t>air and/or surface depending on context</t>
        </is>
      </c>
      <c r="X92" s="4" t="inlineStr">
        <is>
          <t>no</t>
        </is>
      </c>
      <c r="Y92" s="4" t="inlineStr">
        <is>
          <t>white, gray, powdery, patchy</t>
        </is>
      </c>
      <c r="Z92" s="4" t="inlineStr">
        <is>
          <t>porous materials preferred; non-porous growth usually on possible via dust</t>
        </is>
      </c>
    </row>
    <row r="93">
      <c r="A93" s="4" t="inlineStr">
        <is>
          <t>Rhinocladiella aquaspersa</t>
        </is>
      </c>
      <c r="B93" s="4" t="inlineStr">
        <is>
          <t>Rhinocladiella</t>
        </is>
      </c>
      <c r="C93" s="4" t="inlineStr">
        <is>
          <t>Common indoor</t>
        </is>
      </c>
      <c r="D93" s="4" t="inlineStr">
        <is>
          <t>white</t>
        </is>
      </c>
      <c r="E93" s="4" t="inlineStr">
        <is>
          <t>gray</t>
        </is>
      </c>
      <c r="F93" s="4" t="inlineStr">
        <is>
          <t>powdery</t>
        </is>
      </c>
      <c r="G93" s="4" t="inlineStr">
        <is>
          <t>patchy</t>
        </is>
      </c>
      <c r="H93" s="4" t="inlineStr">
        <is>
          <t>drywall, wood, dust</t>
        </is>
      </c>
      <c r="I93" s="4" t="inlineStr">
        <is>
          <t>bathrooms, basements, HVAC, windows</t>
        </is>
      </c>
      <c r="J93" s="4" t="inlineStr">
        <is>
          <t>moderate</t>
        </is>
      </c>
      <c r="K93" s="4" t="inlineStr">
        <is>
          <t>60+</t>
        </is>
      </c>
      <c r="L93" s="4" t="inlineStr">
        <is>
          <t>15-32</t>
        </is>
      </c>
      <c r="M93" s="4" t="inlineStr">
        <is>
          <t>yes</t>
        </is>
      </c>
      <c r="N93" s="4" t="inlineStr">
        <is>
          <t>possible via dust</t>
        </is>
      </c>
      <c r="O93" s="4" t="inlineStr">
        <is>
          <t>low to moderate</t>
        </is>
      </c>
      <c r="P93" s="4" t="inlineStr">
        <is>
          <t>possible</t>
        </is>
      </c>
      <c r="Q93" s="4" t="inlineStr">
        <is>
          <t>clean visible growth, correct moisture, remove wet porous materials if extensive</t>
        </is>
      </c>
      <c r="R93" s="4" t="inlineStr">
        <is>
          <t>patchy_growth, discoloration, moisture_associated</t>
        </is>
      </c>
      <c r="S93" s="4" t="inlineStr">
        <is>
          <t>Rhinocladiella visual group</t>
        </is>
      </c>
      <c r="T93" s="4" t="inlineStr">
        <is>
          <t>moderate</t>
        </is>
      </c>
      <c r="U93" s="4" t="inlineStr">
        <is>
          <t>common indoor / allergen potential</t>
        </is>
      </c>
      <c r="V93" s="4" t="inlineStr">
        <is>
          <t>24-48 hrs with persistent humidity</t>
        </is>
      </c>
      <c r="W93" s="4" t="inlineStr">
        <is>
          <t>air and/or surface depending on context</t>
        </is>
      </c>
      <c r="X93" s="4" t="inlineStr">
        <is>
          <t>no</t>
        </is>
      </c>
      <c r="Y93" s="4" t="inlineStr">
        <is>
          <t>white, gray, powdery, patchy</t>
        </is>
      </c>
      <c r="Z93" s="4" t="inlineStr">
        <is>
          <t>porous materials preferred; non-porous growth usually on possible via dust</t>
        </is>
      </c>
    </row>
    <row r="94">
      <c r="A94" s="4" t="inlineStr">
        <is>
          <t>Scolecobasidium humicola</t>
        </is>
      </c>
      <c r="B94" s="4" t="inlineStr">
        <is>
          <t>Scolecobasidium</t>
        </is>
      </c>
      <c r="C94" s="4" t="inlineStr">
        <is>
          <t>Common indoor</t>
        </is>
      </c>
      <c r="D94" s="4" t="inlineStr">
        <is>
          <t>white</t>
        </is>
      </c>
      <c r="E94" s="4" t="inlineStr">
        <is>
          <t>gray</t>
        </is>
      </c>
      <c r="F94" s="4" t="inlineStr">
        <is>
          <t>powdery</t>
        </is>
      </c>
      <c r="G94" s="4" t="inlineStr">
        <is>
          <t>patchy</t>
        </is>
      </c>
      <c r="H94" s="4" t="inlineStr">
        <is>
          <t>drywall, wood, dust</t>
        </is>
      </c>
      <c r="I94" s="4" t="inlineStr">
        <is>
          <t>bathrooms, basements, HVAC, windows</t>
        </is>
      </c>
      <c r="J94" s="4" t="inlineStr">
        <is>
          <t>moderate</t>
        </is>
      </c>
      <c r="K94" s="4" t="inlineStr">
        <is>
          <t>60+</t>
        </is>
      </c>
      <c r="L94" s="4" t="inlineStr">
        <is>
          <t>15-32</t>
        </is>
      </c>
      <c r="M94" s="4" t="inlineStr">
        <is>
          <t>yes</t>
        </is>
      </c>
      <c r="N94" s="4" t="inlineStr">
        <is>
          <t>possible via dust</t>
        </is>
      </c>
      <c r="O94" s="4" t="inlineStr">
        <is>
          <t>low to moderate</t>
        </is>
      </c>
      <c r="P94" s="4" t="inlineStr">
        <is>
          <t>possible</t>
        </is>
      </c>
      <c r="Q94" s="4" t="inlineStr">
        <is>
          <t>clean visible growth, correct moisture, remove wet porous materials if extensive</t>
        </is>
      </c>
      <c r="R94" s="4" t="inlineStr">
        <is>
          <t>patchy_growth, discoloration, moisture_associated</t>
        </is>
      </c>
      <c r="S94" s="4" t="inlineStr">
        <is>
          <t>Scolecobasidium visual group</t>
        </is>
      </c>
      <c r="T94" s="4" t="inlineStr">
        <is>
          <t>moderate</t>
        </is>
      </c>
      <c r="U94" s="4" t="inlineStr">
        <is>
          <t>common indoor / allergen potential</t>
        </is>
      </c>
      <c r="V94" s="4" t="inlineStr">
        <is>
          <t>24-48 hrs with persistent humidity</t>
        </is>
      </c>
      <c r="W94" s="4" t="inlineStr">
        <is>
          <t>air and/or surface depending on context</t>
        </is>
      </c>
      <c r="X94" s="4" t="inlineStr">
        <is>
          <t>no</t>
        </is>
      </c>
      <c r="Y94" s="4" t="inlineStr">
        <is>
          <t>white, gray, powdery, patchy</t>
        </is>
      </c>
      <c r="Z94" s="4" t="inlineStr">
        <is>
          <t>porous materials preferred; non-porous growth usually on possible via dust</t>
        </is>
      </c>
    </row>
    <row r="95">
      <c r="A95" s="4" t="inlineStr">
        <is>
          <t>Taeniolella stilbospora</t>
        </is>
      </c>
      <c r="B95" s="4" t="inlineStr">
        <is>
          <t>Taeniolella</t>
        </is>
      </c>
      <c r="C95" s="4" t="inlineStr">
        <is>
          <t>Common indoor</t>
        </is>
      </c>
      <c r="D95" s="4" t="inlineStr">
        <is>
          <t>white</t>
        </is>
      </c>
      <c r="E95" s="4" t="inlineStr">
        <is>
          <t>gray</t>
        </is>
      </c>
      <c r="F95" s="4" t="inlineStr">
        <is>
          <t>powdery</t>
        </is>
      </c>
      <c r="G95" s="4" t="inlineStr">
        <is>
          <t>patchy</t>
        </is>
      </c>
      <c r="H95" s="4" t="inlineStr">
        <is>
          <t>drywall, wood, dust</t>
        </is>
      </c>
      <c r="I95" s="4" t="inlineStr">
        <is>
          <t>bathrooms, basements, HVAC, windows</t>
        </is>
      </c>
      <c r="J95" s="4" t="inlineStr">
        <is>
          <t>moderate</t>
        </is>
      </c>
      <c r="K95" s="4" t="inlineStr">
        <is>
          <t>60+</t>
        </is>
      </c>
      <c r="L95" s="4" t="inlineStr">
        <is>
          <t>15-32</t>
        </is>
      </c>
      <c r="M95" s="4" t="inlineStr">
        <is>
          <t>yes</t>
        </is>
      </c>
      <c r="N95" s="4" t="inlineStr">
        <is>
          <t>possible via dust</t>
        </is>
      </c>
      <c r="O95" s="4" t="inlineStr">
        <is>
          <t>low to moderate</t>
        </is>
      </c>
      <c r="P95" s="4" t="inlineStr">
        <is>
          <t>possible</t>
        </is>
      </c>
      <c r="Q95" s="4" t="inlineStr">
        <is>
          <t>clean visible growth, correct moisture, remove wet porous materials if extensive</t>
        </is>
      </c>
      <c r="R95" s="4" t="inlineStr">
        <is>
          <t>patchy_growth, discoloration, moisture_associated</t>
        </is>
      </c>
      <c r="S95" s="4" t="inlineStr">
        <is>
          <t>Taeniolella visual group</t>
        </is>
      </c>
      <c r="T95" s="4" t="inlineStr">
        <is>
          <t>moderate</t>
        </is>
      </c>
      <c r="U95" s="4" t="inlineStr">
        <is>
          <t>common indoor / allergen potential</t>
        </is>
      </c>
      <c r="V95" s="4" t="inlineStr">
        <is>
          <t>24-48 hrs with persistent humidity</t>
        </is>
      </c>
      <c r="W95" s="4" t="inlineStr">
        <is>
          <t>air and/or surface depending on context</t>
        </is>
      </c>
      <c r="X95" s="4" t="inlineStr">
        <is>
          <t>no</t>
        </is>
      </c>
      <c r="Y95" s="4" t="inlineStr">
        <is>
          <t>white, gray, powdery, patchy</t>
        </is>
      </c>
      <c r="Z95" s="4" t="inlineStr">
        <is>
          <t>porous materials preferred; non-porous growth usually on possible via dust</t>
        </is>
      </c>
    </row>
    <row r="96">
      <c r="A96" s="4" t="inlineStr">
        <is>
          <t>Wangiella dermatitidis</t>
        </is>
      </c>
      <c r="B96" s="4" t="inlineStr">
        <is>
          <t>Wangiella</t>
        </is>
      </c>
      <c r="C96" s="4" t="inlineStr">
        <is>
          <t>Common indoor</t>
        </is>
      </c>
      <c r="D96" s="4" t="inlineStr">
        <is>
          <t>white</t>
        </is>
      </c>
      <c r="E96" s="4" t="inlineStr">
        <is>
          <t>gray</t>
        </is>
      </c>
      <c r="F96" s="4" t="inlineStr">
        <is>
          <t>powdery</t>
        </is>
      </c>
      <c r="G96" s="4" t="inlineStr">
        <is>
          <t>patchy</t>
        </is>
      </c>
      <c r="H96" s="4" t="inlineStr">
        <is>
          <t>drywall, wood, dust</t>
        </is>
      </c>
      <c r="I96" s="4" t="inlineStr">
        <is>
          <t>bathrooms, basements, HVAC, windows</t>
        </is>
      </c>
      <c r="J96" s="4" t="inlineStr">
        <is>
          <t>moderate</t>
        </is>
      </c>
      <c r="K96" s="4" t="inlineStr">
        <is>
          <t>60+</t>
        </is>
      </c>
      <c r="L96" s="4" t="inlineStr">
        <is>
          <t>15-32</t>
        </is>
      </c>
      <c r="M96" s="4" t="inlineStr">
        <is>
          <t>yes</t>
        </is>
      </c>
      <c r="N96" s="4" t="inlineStr">
        <is>
          <t>possible via dust</t>
        </is>
      </c>
      <c r="O96" s="4" t="inlineStr">
        <is>
          <t>low to moderate</t>
        </is>
      </c>
      <c r="P96" s="4" t="inlineStr">
        <is>
          <t>possible</t>
        </is>
      </c>
      <c r="Q96" s="4" t="inlineStr">
        <is>
          <t>clean visible growth, correct moisture, remove wet porous materials if extensive</t>
        </is>
      </c>
      <c r="R96" s="4" t="inlineStr">
        <is>
          <t>patchy_growth, discoloration, moisture_associated</t>
        </is>
      </c>
      <c r="S96" s="4" t="inlineStr">
        <is>
          <t>Wangiella visual group</t>
        </is>
      </c>
      <c r="T96" s="4" t="inlineStr">
        <is>
          <t>moderate</t>
        </is>
      </c>
      <c r="U96" s="4" t="inlineStr">
        <is>
          <t>common indoor / allergen potential</t>
        </is>
      </c>
      <c r="V96" s="4" t="inlineStr">
        <is>
          <t>24-48 hrs with persistent humidity</t>
        </is>
      </c>
      <c r="W96" s="4" t="inlineStr">
        <is>
          <t>air and/or surface depending on context</t>
        </is>
      </c>
      <c r="X96" s="4" t="inlineStr">
        <is>
          <t>no</t>
        </is>
      </c>
      <c r="Y96" s="4" t="inlineStr">
        <is>
          <t>white, gray, powdery, patchy</t>
        </is>
      </c>
      <c r="Z96" s="4" t="inlineStr">
        <is>
          <t>porous materials preferred; non-porous growth usually on possible via dust</t>
        </is>
      </c>
    </row>
    <row r="97">
      <c r="A97" s="4" t="inlineStr">
        <is>
          <t>Arthrinium saccharicola</t>
        </is>
      </c>
      <c r="B97" s="4" t="inlineStr">
        <is>
          <t>Arthrinium</t>
        </is>
      </c>
      <c r="C97" s="4" t="inlineStr">
        <is>
          <t>Common indoor</t>
        </is>
      </c>
      <c r="D97" s="4" t="inlineStr">
        <is>
          <t>white</t>
        </is>
      </c>
      <c r="E97" s="4" t="inlineStr">
        <is>
          <t>gray</t>
        </is>
      </c>
      <c r="F97" s="4" t="inlineStr">
        <is>
          <t>powdery</t>
        </is>
      </c>
      <c r="G97" s="4" t="inlineStr">
        <is>
          <t>patchy</t>
        </is>
      </c>
      <c r="H97" s="4" t="inlineStr">
        <is>
          <t>drywall, wood, dust</t>
        </is>
      </c>
      <c r="I97" s="4" t="inlineStr">
        <is>
          <t>bathrooms, basements, HVAC, windows</t>
        </is>
      </c>
      <c r="J97" s="4" t="inlineStr">
        <is>
          <t>moderate</t>
        </is>
      </c>
      <c r="K97" s="4" t="inlineStr">
        <is>
          <t>60+</t>
        </is>
      </c>
      <c r="L97" s="4" t="inlineStr">
        <is>
          <t>15-32</t>
        </is>
      </c>
      <c r="M97" s="4" t="inlineStr">
        <is>
          <t>yes</t>
        </is>
      </c>
      <c r="N97" s="4" t="inlineStr">
        <is>
          <t>possible via dust</t>
        </is>
      </c>
      <c r="O97" s="4" t="inlineStr">
        <is>
          <t>low to moderate</t>
        </is>
      </c>
      <c r="P97" s="4" t="inlineStr">
        <is>
          <t>possible</t>
        </is>
      </c>
      <c r="Q97" s="4" t="inlineStr">
        <is>
          <t>clean visible growth, correct moisture, remove wet porous materials if extensive</t>
        </is>
      </c>
      <c r="R97" s="4" t="inlineStr">
        <is>
          <t>patchy_growth, discoloration, moisture_associated</t>
        </is>
      </c>
      <c r="S97" s="4" t="inlineStr">
        <is>
          <t>Arthrinium visual group</t>
        </is>
      </c>
      <c r="T97" s="4" t="inlineStr">
        <is>
          <t>moderate</t>
        </is>
      </c>
      <c r="U97" s="4" t="inlineStr">
        <is>
          <t>common indoor / allergen potential</t>
        </is>
      </c>
      <c r="V97" s="4" t="inlineStr">
        <is>
          <t>24-48 hrs with persistent humidity</t>
        </is>
      </c>
      <c r="W97" s="4" t="inlineStr">
        <is>
          <t>air and/or surface depending on context</t>
        </is>
      </c>
      <c r="X97" s="4" t="inlineStr">
        <is>
          <t>yes</t>
        </is>
      </c>
      <c r="Y97" s="4" t="inlineStr">
        <is>
          <t>white, gray, powdery, patchy</t>
        </is>
      </c>
      <c r="Z97" s="4" t="inlineStr">
        <is>
          <t>porous materials preferred; non-porous growth usually on possible via dust</t>
        </is>
      </c>
    </row>
    <row r="98">
      <c r="A98" s="4" t="inlineStr">
        <is>
          <t>Beltrania rhombica</t>
        </is>
      </c>
      <c r="B98" s="4" t="inlineStr">
        <is>
          <t>Beltrania</t>
        </is>
      </c>
      <c r="C98" s="4" t="inlineStr">
        <is>
          <t>Common indoor</t>
        </is>
      </c>
      <c r="D98" s="4" t="inlineStr">
        <is>
          <t>white</t>
        </is>
      </c>
      <c r="E98" s="4" t="inlineStr">
        <is>
          <t>gray</t>
        </is>
      </c>
      <c r="F98" s="4" t="inlineStr">
        <is>
          <t>powdery</t>
        </is>
      </c>
      <c r="G98" s="4" t="inlineStr">
        <is>
          <t>patchy</t>
        </is>
      </c>
      <c r="H98" s="4" t="inlineStr">
        <is>
          <t>drywall, wood, dust</t>
        </is>
      </c>
      <c r="I98" s="4" t="inlineStr">
        <is>
          <t>bathrooms, basements, HVAC, windows</t>
        </is>
      </c>
      <c r="J98" s="4" t="inlineStr">
        <is>
          <t>moderate</t>
        </is>
      </c>
      <c r="K98" s="4" t="inlineStr">
        <is>
          <t>60+</t>
        </is>
      </c>
      <c r="L98" s="4" t="inlineStr">
        <is>
          <t>15-32</t>
        </is>
      </c>
      <c r="M98" s="4" t="inlineStr">
        <is>
          <t>yes</t>
        </is>
      </c>
      <c r="N98" s="4" t="inlineStr">
        <is>
          <t>possible via dust</t>
        </is>
      </c>
      <c r="O98" s="4" t="inlineStr">
        <is>
          <t>low to moderate</t>
        </is>
      </c>
      <c r="P98" s="4" t="inlineStr">
        <is>
          <t>possible</t>
        </is>
      </c>
      <c r="Q98" s="4" t="inlineStr">
        <is>
          <t>clean visible growth, correct moisture, remove wet porous materials if extensive</t>
        </is>
      </c>
      <c r="R98" s="4" t="inlineStr">
        <is>
          <t>patchy_growth, discoloration, moisture_associated</t>
        </is>
      </c>
      <c r="S98" s="4" t="inlineStr">
        <is>
          <t>Beltrania visual group</t>
        </is>
      </c>
      <c r="T98" s="4" t="inlineStr">
        <is>
          <t>moderate</t>
        </is>
      </c>
      <c r="U98" s="4" t="inlineStr">
        <is>
          <t>common indoor / allergen potential</t>
        </is>
      </c>
      <c r="V98" s="4" t="inlineStr">
        <is>
          <t>24-48 hrs with persistent humidity</t>
        </is>
      </c>
      <c r="W98" s="4" t="inlineStr">
        <is>
          <t>air and/or surface depending on context</t>
        </is>
      </c>
      <c r="X98" s="4" t="inlineStr">
        <is>
          <t>no</t>
        </is>
      </c>
      <c r="Y98" s="4" t="inlineStr">
        <is>
          <t>white, gray, powdery, patchy</t>
        </is>
      </c>
      <c r="Z98" s="4" t="inlineStr">
        <is>
          <t>porous materials preferred; non-porous growth usually on possible via dust</t>
        </is>
      </c>
    </row>
    <row r="99">
      <c r="A99" s="4" t="inlineStr">
        <is>
          <t>Basidiobolus ranarum</t>
        </is>
      </c>
      <c r="B99" s="4" t="inlineStr">
        <is>
          <t>Basidiobolus</t>
        </is>
      </c>
      <c r="C99" s="4" t="inlineStr">
        <is>
          <t>Common indoor</t>
        </is>
      </c>
      <c r="D99" s="4" t="inlineStr">
        <is>
          <t>white</t>
        </is>
      </c>
      <c r="E99" s="4" t="inlineStr">
        <is>
          <t>gray</t>
        </is>
      </c>
      <c r="F99" s="4" t="inlineStr">
        <is>
          <t>powdery</t>
        </is>
      </c>
      <c r="G99" s="4" t="inlineStr">
        <is>
          <t>patchy</t>
        </is>
      </c>
      <c r="H99" s="4" t="inlineStr">
        <is>
          <t>drywall, wood, dust</t>
        </is>
      </c>
      <c r="I99" s="4" t="inlineStr">
        <is>
          <t>bathrooms, basements, HVAC, windows</t>
        </is>
      </c>
      <c r="J99" s="4" t="inlineStr">
        <is>
          <t>moderate</t>
        </is>
      </c>
      <c r="K99" s="4" t="inlineStr">
        <is>
          <t>60+</t>
        </is>
      </c>
      <c r="L99" s="4" t="inlineStr">
        <is>
          <t>15-32</t>
        </is>
      </c>
      <c r="M99" s="4" t="inlineStr">
        <is>
          <t>yes</t>
        </is>
      </c>
      <c r="N99" s="4" t="inlineStr">
        <is>
          <t>possible via dust</t>
        </is>
      </c>
      <c r="O99" s="4" t="inlineStr">
        <is>
          <t>low to moderate</t>
        </is>
      </c>
      <c r="P99" s="4" t="inlineStr">
        <is>
          <t>possible</t>
        </is>
      </c>
      <c r="Q99" s="4" t="inlineStr">
        <is>
          <t>clean visible growth, correct moisture, remove wet porous materials if extensive</t>
        </is>
      </c>
      <c r="R99" s="4" t="inlineStr">
        <is>
          <t>patchy_growth, discoloration, moisture_associated</t>
        </is>
      </c>
      <c r="S99" s="4" t="inlineStr">
        <is>
          <t>Basidiobolus visual group</t>
        </is>
      </c>
      <c r="T99" s="4" t="inlineStr">
        <is>
          <t>moderate</t>
        </is>
      </c>
      <c r="U99" s="4" t="inlineStr">
        <is>
          <t>common indoor / allergen potential</t>
        </is>
      </c>
      <c r="V99" s="4" t="inlineStr">
        <is>
          <t>24-48 hrs with persistent humidity</t>
        </is>
      </c>
      <c r="W99" s="4" t="inlineStr">
        <is>
          <t>air and/or surface depending on context</t>
        </is>
      </c>
      <c r="X99" s="4" t="inlineStr">
        <is>
          <t>no</t>
        </is>
      </c>
      <c r="Y99" s="4" t="inlineStr">
        <is>
          <t>white, gray, powdery, patchy</t>
        </is>
      </c>
      <c r="Z99" s="4" t="inlineStr">
        <is>
          <t>porous materials preferred; non-porous growth usually on possible via dust</t>
        </is>
      </c>
    </row>
    <row r="100">
      <c r="A100" s="4" t="inlineStr">
        <is>
          <t>Botryotrichum piluliferum</t>
        </is>
      </c>
      <c r="B100" s="4" t="inlineStr">
        <is>
          <t>Botryotrichum</t>
        </is>
      </c>
      <c r="C100" s="4" t="inlineStr">
        <is>
          <t>Common indoor</t>
        </is>
      </c>
      <c r="D100" s="4" t="inlineStr">
        <is>
          <t>white</t>
        </is>
      </c>
      <c r="E100" s="4" t="inlineStr">
        <is>
          <t>gray</t>
        </is>
      </c>
      <c r="F100" s="4" t="inlineStr">
        <is>
          <t>powdery</t>
        </is>
      </c>
      <c r="G100" s="4" t="inlineStr">
        <is>
          <t>patchy</t>
        </is>
      </c>
      <c r="H100" s="4" t="inlineStr">
        <is>
          <t>drywall, wood, dust</t>
        </is>
      </c>
      <c r="I100" s="4" t="inlineStr">
        <is>
          <t>bathrooms, basements, HVAC, windows</t>
        </is>
      </c>
      <c r="J100" s="4" t="inlineStr">
        <is>
          <t>moderate</t>
        </is>
      </c>
      <c r="K100" s="4" t="inlineStr">
        <is>
          <t>60+</t>
        </is>
      </c>
      <c r="L100" s="4" t="inlineStr">
        <is>
          <t>15-32</t>
        </is>
      </c>
      <c r="M100" s="4" t="inlineStr">
        <is>
          <t>yes</t>
        </is>
      </c>
      <c r="N100" s="4" t="inlineStr">
        <is>
          <t>possible via dust</t>
        </is>
      </c>
      <c r="O100" s="4" t="inlineStr">
        <is>
          <t>low to moderate</t>
        </is>
      </c>
      <c r="P100" s="4" t="inlineStr">
        <is>
          <t>possible</t>
        </is>
      </c>
      <c r="Q100" s="4" t="inlineStr">
        <is>
          <t>clean visible growth, correct moisture, remove wet porous materials if extensive</t>
        </is>
      </c>
      <c r="R100" s="4" t="inlineStr">
        <is>
          <t>patchy_growth, discoloration, moisture_associated</t>
        </is>
      </c>
      <c r="S100" s="4" t="inlineStr">
        <is>
          <t>Botryotrichum visual group</t>
        </is>
      </c>
      <c r="T100" s="4" t="inlineStr">
        <is>
          <t>moderate</t>
        </is>
      </c>
      <c r="U100" s="4" t="inlineStr">
        <is>
          <t>common indoor / allergen potential</t>
        </is>
      </c>
      <c r="V100" s="4" t="inlineStr">
        <is>
          <t>24-48 hrs with persistent humidity</t>
        </is>
      </c>
      <c r="W100" s="4" t="inlineStr">
        <is>
          <t>air and/or surface depending on context</t>
        </is>
      </c>
      <c r="X100" s="4" t="inlineStr">
        <is>
          <t>no</t>
        </is>
      </c>
      <c r="Y100" s="4" t="inlineStr">
        <is>
          <t>white, gray, powdery, patchy</t>
        </is>
      </c>
      <c r="Z100" s="4" t="inlineStr">
        <is>
          <t>porous materials preferred; non-porous growth usually on possible via dust</t>
        </is>
      </c>
    </row>
    <row r="101">
      <c r="A101" s="4" t="inlineStr">
        <is>
          <t>Gliocladium virens</t>
        </is>
      </c>
      <c r="B101" s="4" t="inlineStr">
        <is>
          <t>Gliocladium</t>
        </is>
      </c>
      <c r="C101" s="4" t="inlineStr">
        <is>
          <t>Common indoor</t>
        </is>
      </c>
      <c r="D101" s="4" t="inlineStr">
        <is>
          <t>white</t>
        </is>
      </c>
      <c r="E101" s="4" t="inlineStr">
        <is>
          <t>gray</t>
        </is>
      </c>
      <c r="F101" s="4" t="inlineStr">
        <is>
          <t>powdery</t>
        </is>
      </c>
      <c r="G101" s="4" t="inlineStr">
        <is>
          <t>patchy</t>
        </is>
      </c>
      <c r="H101" s="4" t="inlineStr">
        <is>
          <t>drywall, wood, dust</t>
        </is>
      </c>
      <c r="I101" s="4" t="inlineStr">
        <is>
          <t>bathrooms, basements, HVAC, windows</t>
        </is>
      </c>
      <c r="J101" s="4" t="inlineStr">
        <is>
          <t>moderate</t>
        </is>
      </c>
      <c r="K101" s="4" t="inlineStr">
        <is>
          <t>60+</t>
        </is>
      </c>
      <c r="L101" s="4" t="inlineStr">
        <is>
          <t>15-32</t>
        </is>
      </c>
      <c r="M101" s="4" t="inlineStr">
        <is>
          <t>yes</t>
        </is>
      </c>
      <c r="N101" s="4" t="inlineStr">
        <is>
          <t>possible via dust</t>
        </is>
      </c>
      <c r="O101" s="4" t="inlineStr">
        <is>
          <t>low to moderate</t>
        </is>
      </c>
      <c r="P101" s="4" t="inlineStr">
        <is>
          <t>possible</t>
        </is>
      </c>
      <c r="Q101" s="4" t="inlineStr">
        <is>
          <t>clean visible growth, correct moisture, remove wet porous materials if extensive</t>
        </is>
      </c>
      <c r="R101" s="4" t="inlineStr">
        <is>
          <t>patchy_growth, discoloration, moisture_associated</t>
        </is>
      </c>
      <c r="S101" s="4" t="inlineStr">
        <is>
          <t>Aspergillus/Penicillium-like</t>
        </is>
      </c>
      <c r="T101" s="4" t="inlineStr">
        <is>
          <t>low-to-moderate</t>
        </is>
      </c>
      <c r="U101" s="4" t="inlineStr">
        <is>
          <t>common indoor / allergen potential</t>
        </is>
      </c>
      <c r="V101" s="4" t="inlineStr">
        <is>
          <t>24-48 hrs with persistent humidity</t>
        </is>
      </c>
      <c r="W101" s="4" t="inlineStr">
        <is>
          <t>air + surface/bulk</t>
        </is>
      </c>
      <c r="X101" s="4" t="inlineStr">
        <is>
          <t>no</t>
        </is>
      </c>
      <c r="Y101" s="4" t="inlineStr">
        <is>
          <t>white, gray, powdery, patchy</t>
        </is>
      </c>
      <c r="Z101" s="4" t="inlineStr">
        <is>
          <t>porous materials preferred; non-porous growth usually on possible via dust</t>
        </is>
      </c>
    </row>
    <row r="102">
      <c r="A102" s="4" t="inlineStr">
        <is>
          <t>Gliomastix murorum</t>
        </is>
      </c>
      <c r="B102" s="4" t="inlineStr">
        <is>
          <t>Gliomastix</t>
        </is>
      </c>
      <c r="C102" s="4" t="inlineStr">
        <is>
          <t>Common indoor</t>
        </is>
      </c>
      <c r="D102" s="4" t="inlineStr">
        <is>
          <t>white</t>
        </is>
      </c>
      <c r="E102" s="4" t="inlineStr">
        <is>
          <t>gray</t>
        </is>
      </c>
      <c r="F102" s="4" t="inlineStr">
        <is>
          <t>powdery</t>
        </is>
      </c>
      <c r="G102" s="4" t="inlineStr">
        <is>
          <t>patchy</t>
        </is>
      </c>
      <c r="H102" s="4" t="inlineStr">
        <is>
          <t>drywall, wood, dust</t>
        </is>
      </c>
      <c r="I102" s="4" t="inlineStr">
        <is>
          <t>bathrooms, basements, HVAC, windows</t>
        </is>
      </c>
      <c r="J102" s="4" t="inlineStr">
        <is>
          <t>moderate</t>
        </is>
      </c>
      <c r="K102" s="4" t="inlineStr">
        <is>
          <t>60+</t>
        </is>
      </c>
      <c r="L102" s="4" t="inlineStr">
        <is>
          <t>15-32</t>
        </is>
      </c>
      <c r="M102" s="4" t="inlineStr">
        <is>
          <t>yes</t>
        </is>
      </c>
      <c r="N102" s="4" t="inlineStr">
        <is>
          <t>possible via dust</t>
        </is>
      </c>
      <c r="O102" s="4" t="inlineStr">
        <is>
          <t>low to moderate</t>
        </is>
      </c>
      <c r="P102" s="4" t="inlineStr">
        <is>
          <t>possible</t>
        </is>
      </c>
      <c r="Q102" s="4" t="inlineStr">
        <is>
          <t>clean visible growth, correct moisture, remove wet porous materials if extensive</t>
        </is>
      </c>
      <c r="R102" s="4" t="inlineStr">
        <is>
          <t>patchy_growth, discoloration, moisture_associated</t>
        </is>
      </c>
      <c r="S102" s="4" t="inlineStr">
        <is>
          <t>Gliomastix visual group</t>
        </is>
      </c>
      <c r="T102" s="4" t="inlineStr">
        <is>
          <t>moderate</t>
        </is>
      </c>
      <c r="U102" s="4" t="inlineStr">
        <is>
          <t>common indoor / allergen potential</t>
        </is>
      </c>
      <c r="V102" s="4" t="inlineStr">
        <is>
          <t>24-48 hrs with persistent humidity</t>
        </is>
      </c>
      <c r="W102" s="4" t="inlineStr">
        <is>
          <t>air and/or surface depending on context</t>
        </is>
      </c>
      <c r="X102" s="4" t="inlineStr">
        <is>
          <t>no</t>
        </is>
      </c>
      <c r="Y102" s="4" t="inlineStr">
        <is>
          <t>white, gray, powdery, patchy</t>
        </is>
      </c>
      <c r="Z102" s="4" t="inlineStr">
        <is>
          <t>porous materials preferred; non-porous growth usually on possible via dust</t>
        </is>
      </c>
    </row>
    <row r="103">
      <c r="A103" s="4" t="inlineStr">
        <is>
          <t>Geomyces pannorum</t>
        </is>
      </c>
      <c r="B103" s="4" t="inlineStr">
        <is>
          <t>Geomyces</t>
        </is>
      </c>
      <c r="C103" s="4" t="inlineStr">
        <is>
          <t>Common indoor</t>
        </is>
      </c>
      <c r="D103" s="4" t="inlineStr">
        <is>
          <t>white</t>
        </is>
      </c>
      <c r="E103" s="4" t="inlineStr">
        <is>
          <t>gray</t>
        </is>
      </c>
      <c r="F103" s="4" t="inlineStr">
        <is>
          <t>powdery</t>
        </is>
      </c>
      <c r="G103" s="4" t="inlineStr">
        <is>
          <t>patchy</t>
        </is>
      </c>
      <c r="H103" s="4" t="inlineStr">
        <is>
          <t>drywall, wood, dust</t>
        </is>
      </c>
      <c r="I103" s="4" t="inlineStr">
        <is>
          <t>bathrooms, basements, HVAC, windows</t>
        </is>
      </c>
      <c r="J103" s="4" t="inlineStr">
        <is>
          <t>moderate</t>
        </is>
      </c>
      <c r="K103" s="4" t="inlineStr">
        <is>
          <t>60+</t>
        </is>
      </c>
      <c r="L103" s="4" t="inlineStr">
        <is>
          <t>15-32</t>
        </is>
      </c>
      <c r="M103" s="4" t="inlineStr">
        <is>
          <t>yes</t>
        </is>
      </c>
      <c r="N103" s="4" t="inlineStr">
        <is>
          <t>possible via dust</t>
        </is>
      </c>
      <c r="O103" s="4" t="inlineStr">
        <is>
          <t>low to moderate</t>
        </is>
      </c>
      <c r="P103" s="4" t="inlineStr">
        <is>
          <t>possible</t>
        </is>
      </c>
      <c r="Q103" s="4" t="inlineStr">
        <is>
          <t>clean visible growth, correct moisture, remove wet porous materials if extensive</t>
        </is>
      </c>
      <c r="R103" s="4" t="inlineStr">
        <is>
          <t>patchy_growth, discoloration, moisture_associated</t>
        </is>
      </c>
      <c r="S103" s="4" t="inlineStr">
        <is>
          <t>Geomyces visual group</t>
        </is>
      </c>
      <c r="T103" s="4" t="inlineStr">
        <is>
          <t>moderate</t>
        </is>
      </c>
      <c r="U103" s="4" t="inlineStr">
        <is>
          <t>common indoor / allergen potential</t>
        </is>
      </c>
      <c r="V103" s="4" t="inlineStr">
        <is>
          <t>24-48 hrs with persistent humidity</t>
        </is>
      </c>
      <c r="W103" s="4" t="inlineStr">
        <is>
          <t>air and/or surface depending on context</t>
        </is>
      </c>
      <c r="X103" s="4" t="inlineStr">
        <is>
          <t>no</t>
        </is>
      </c>
      <c r="Y103" s="4" t="inlineStr">
        <is>
          <t>white, gray, powdery, patchy</t>
        </is>
      </c>
      <c r="Z103" s="4" t="inlineStr">
        <is>
          <t>porous materials preferred; non-porous growth usually on possible via dust</t>
        </is>
      </c>
    </row>
    <row r="104">
      <c r="A104" s="4" t="inlineStr">
        <is>
          <t>Helminthosporium solani</t>
        </is>
      </c>
      <c r="B104" s="4" t="inlineStr">
        <is>
          <t>Helminthosporium</t>
        </is>
      </c>
      <c r="C104" s="4" t="inlineStr">
        <is>
          <t>Common indoor</t>
        </is>
      </c>
      <c r="D104" s="4" t="inlineStr">
        <is>
          <t>white</t>
        </is>
      </c>
      <c r="E104" s="4" t="inlineStr">
        <is>
          <t>gray</t>
        </is>
      </c>
      <c r="F104" s="4" t="inlineStr">
        <is>
          <t>powdery</t>
        </is>
      </c>
      <c r="G104" s="4" t="inlineStr">
        <is>
          <t>patchy</t>
        </is>
      </c>
      <c r="H104" s="4" t="inlineStr">
        <is>
          <t>drywall, wood, dust</t>
        </is>
      </c>
      <c r="I104" s="4" t="inlineStr">
        <is>
          <t>bathrooms, basements, HVAC, windows</t>
        </is>
      </c>
      <c r="J104" s="4" t="inlineStr">
        <is>
          <t>moderate</t>
        </is>
      </c>
      <c r="K104" s="4" t="inlineStr">
        <is>
          <t>60+</t>
        </is>
      </c>
      <c r="L104" s="4" t="inlineStr">
        <is>
          <t>15-32</t>
        </is>
      </c>
      <c r="M104" s="4" t="inlineStr">
        <is>
          <t>yes</t>
        </is>
      </c>
      <c r="N104" s="4" t="inlineStr">
        <is>
          <t>possible via dust</t>
        </is>
      </c>
      <c r="O104" s="4" t="inlineStr">
        <is>
          <t>low to moderate</t>
        </is>
      </c>
      <c r="P104" s="4" t="inlineStr">
        <is>
          <t>possible</t>
        </is>
      </c>
      <c r="Q104" s="4" t="inlineStr">
        <is>
          <t>clean visible growth, correct moisture, remove wet porous materials if extensive</t>
        </is>
      </c>
      <c r="R104" s="4" t="inlineStr">
        <is>
          <t>patchy_growth, discoloration, moisture_associated</t>
        </is>
      </c>
      <c r="S104" s="4" t="inlineStr">
        <is>
          <t>Helminthosporium visual group</t>
        </is>
      </c>
      <c r="T104" s="4" t="inlineStr">
        <is>
          <t>moderate</t>
        </is>
      </c>
      <c r="U104" s="4" t="inlineStr">
        <is>
          <t>common indoor / allergen potential</t>
        </is>
      </c>
      <c r="V104" s="4" t="inlineStr">
        <is>
          <t>24-48 hrs with persistent humidity</t>
        </is>
      </c>
      <c r="W104" s="4" t="inlineStr">
        <is>
          <t>air and/or surface depending on context</t>
        </is>
      </c>
      <c r="X104" s="4" t="inlineStr">
        <is>
          <t>no</t>
        </is>
      </c>
      <c r="Y104" s="4" t="inlineStr">
        <is>
          <t>white, gray, powdery, patchy</t>
        </is>
      </c>
      <c r="Z104" s="4" t="inlineStr">
        <is>
          <t>porous materials preferred; non-porous growth usually on possible via dust</t>
        </is>
      </c>
    </row>
    <row r="105">
      <c r="A105" s="4" t="inlineStr">
        <is>
          <t>Hormodendrum hordei</t>
        </is>
      </c>
      <c r="B105" s="4" t="inlineStr">
        <is>
          <t>Hormodendrum</t>
        </is>
      </c>
      <c r="C105" s="4" t="inlineStr">
        <is>
          <t>Common indoor</t>
        </is>
      </c>
      <c r="D105" s="4" t="inlineStr">
        <is>
          <t>white</t>
        </is>
      </c>
      <c r="E105" s="4" t="inlineStr">
        <is>
          <t>gray</t>
        </is>
      </c>
      <c r="F105" s="4" t="inlineStr">
        <is>
          <t>powdery</t>
        </is>
      </c>
      <c r="G105" s="4" t="inlineStr">
        <is>
          <t>patchy</t>
        </is>
      </c>
      <c r="H105" s="4" t="inlineStr">
        <is>
          <t>drywall, wood, dust</t>
        </is>
      </c>
      <c r="I105" s="4" t="inlineStr">
        <is>
          <t>bathrooms, basements, HVAC, windows</t>
        </is>
      </c>
      <c r="J105" s="4" t="inlineStr">
        <is>
          <t>moderate</t>
        </is>
      </c>
      <c r="K105" s="4" t="inlineStr">
        <is>
          <t>60+</t>
        </is>
      </c>
      <c r="L105" s="4" t="inlineStr">
        <is>
          <t>15-32</t>
        </is>
      </c>
      <c r="M105" s="4" t="inlineStr">
        <is>
          <t>yes</t>
        </is>
      </c>
      <c r="N105" s="4" t="inlineStr">
        <is>
          <t>possible via dust</t>
        </is>
      </c>
      <c r="O105" s="4" t="inlineStr">
        <is>
          <t>low to moderate</t>
        </is>
      </c>
      <c r="P105" s="4" t="inlineStr">
        <is>
          <t>possible</t>
        </is>
      </c>
      <c r="Q105" s="4" t="inlineStr">
        <is>
          <t>clean visible growth, correct moisture, remove wet porous materials if extensive</t>
        </is>
      </c>
      <c r="R105" s="4" t="inlineStr">
        <is>
          <t>patchy_growth, discoloration, moisture_associated</t>
        </is>
      </c>
      <c r="S105" s="4" t="inlineStr">
        <is>
          <t>Hormodendrum visual group</t>
        </is>
      </c>
      <c r="T105" s="4" t="inlineStr">
        <is>
          <t>moderate</t>
        </is>
      </c>
      <c r="U105" s="4" t="inlineStr">
        <is>
          <t>common indoor / allergen potential</t>
        </is>
      </c>
      <c r="V105" s="4" t="inlineStr">
        <is>
          <t>24-48 hrs with persistent humidity</t>
        </is>
      </c>
      <c r="W105" s="4" t="inlineStr">
        <is>
          <t>air and/or surface depending on context</t>
        </is>
      </c>
      <c r="X105" s="4" t="inlineStr">
        <is>
          <t>no</t>
        </is>
      </c>
      <c r="Y105" s="4" t="inlineStr">
        <is>
          <t>white, gray, powdery, patchy</t>
        </is>
      </c>
      <c r="Z105" s="4" t="inlineStr">
        <is>
          <t>porous materials preferred; non-porous growth usually on possible via dust</t>
        </is>
      </c>
    </row>
    <row r="106">
      <c r="A106" s="4" t="inlineStr">
        <is>
          <t>Neosartorya fischeri</t>
        </is>
      </c>
      <c r="B106" s="4" t="inlineStr">
        <is>
          <t>Neosartorya</t>
        </is>
      </c>
      <c r="C106" s="4" t="inlineStr">
        <is>
          <t>Common indoor</t>
        </is>
      </c>
      <c r="D106" s="4" t="inlineStr">
        <is>
          <t>white</t>
        </is>
      </c>
      <c r="E106" s="4" t="inlineStr">
        <is>
          <t>gray</t>
        </is>
      </c>
      <c r="F106" s="4" t="inlineStr">
        <is>
          <t>powdery</t>
        </is>
      </c>
      <c r="G106" s="4" t="inlineStr">
        <is>
          <t>patchy</t>
        </is>
      </c>
      <c r="H106" s="4" t="inlineStr">
        <is>
          <t>drywall, wood, dust</t>
        </is>
      </c>
      <c r="I106" s="4" t="inlineStr">
        <is>
          <t>bathrooms, basements, HVAC, windows</t>
        </is>
      </c>
      <c r="J106" s="4" t="inlineStr">
        <is>
          <t>moderate</t>
        </is>
      </c>
      <c r="K106" s="4" t="inlineStr">
        <is>
          <t>60+</t>
        </is>
      </c>
      <c r="L106" s="4" t="inlineStr">
        <is>
          <t>15-32</t>
        </is>
      </c>
      <c r="M106" s="4" t="inlineStr">
        <is>
          <t>yes</t>
        </is>
      </c>
      <c r="N106" s="4" t="inlineStr">
        <is>
          <t>possible via dust</t>
        </is>
      </c>
      <c r="O106" s="4" t="inlineStr">
        <is>
          <t>low to moderate</t>
        </is>
      </c>
      <c r="P106" s="4" t="inlineStr">
        <is>
          <t>possible</t>
        </is>
      </c>
      <c r="Q106" s="4" t="inlineStr">
        <is>
          <t>clean visible growth, correct moisture, remove wet porous materials if extensive</t>
        </is>
      </c>
      <c r="R106" s="4" t="inlineStr">
        <is>
          <t>patchy_growth, discoloration, moisture_associated</t>
        </is>
      </c>
      <c r="S106" s="4" t="inlineStr">
        <is>
          <t>Neosartorya visual group</t>
        </is>
      </c>
      <c r="T106" s="4" t="inlineStr">
        <is>
          <t>moderate</t>
        </is>
      </c>
      <c r="U106" s="4" t="inlineStr">
        <is>
          <t>common indoor / allergen potential</t>
        </is>
      </c>
      <c r="V106" s="4" t="inlineStr">
        <is>
          <t>24-48 hrs with persistent humidity</t>
        </is>
      </c>
      <c r="W106" s="4" t="inlineStr">
        <is>
          <t>air and/or surface depending on context</t>
        </is>
      </c>
      <c r="X106" s="4" t="inlineStr">
        <is>
          <t>no</t>
        </is>
      </c>
      <c r="Y106" s="4" t="inlineStr">
        <is>
          <t>white, gray, powdery, patchy</t>
        </is>
      </c>
      <c r="Z106" s="4" t="inlineStr">
        <is>
          <t>porous materials preferred; non-porous growth usually on possible via dust</t>
        </is>
      </c>
    </row>
    <row r="107">
      <c r="A107" s="4" t="inlineStr">
        <is>
          <t>Ophiostoma ulmi</t>
        </is>
      </c>
      <c r="B107" s="4" t="inlineStr">
        <is>
          <t>Ophiostoma</t>
        </is>
      </c>
      <c r="C107" s="4" t="inlineStr">
        <is>
          <t>Common indoor</t>
        </is>
      </c>
      <c r="D107" s="4" t="inlineStr">
        <is>
          <t>white</t>
        </is>
      </c>
      <c r="E107" s="4" t="inlineStr">
        <is>
          <t>gray</t>
        </is>
      </c>
      <c r="F107" s="4" t="inlineStr">
        <is>
          <t>powdery</t>
        </is>
      </c>
      <c r="G107" s="4" t="inlineStr">
        <is>
          <t>patchy</t>
        </is>
      </c>
      <c r="H107" s="4" t="inlineStr">
        <is>
          <t>drywall, wood, dust</t>
        </is>
      </c>
      <c r="I107" s="4" t="inlineStr">
        <is>
          <t>bathrooms, basements, HVAC, windows</t>
        </is>
      </c>
      <c r="J107" s="4" t="inlineStr">
        <is>
          <t>moderate</t>
        </is>
      </c>
      <c r="K107" s="4" t="inlineStr">
        <is>
          <t>60+</t>
        </is>
      </c>
      <c r="L107" s="4" t="inlineStr">
        <is>
          <t>15-32</t>
        </is>
      </c>
      <c r="M107" s="4" t="inlineStr">
        <is>
          <t>yes</t>
        </is>
      </c>
      <c r="N107" s="4" t="inlineStr">
        <is>
          <t>possible via dust</t>
        </is>
      </c>
      <c r="O107" s="4" t="inlineStr">
        <is>
          <t>low to moderate</t>
        </is>
      </c>
      <c r="P107" s="4" t="inlineStr">
        <is>
          <t>possible</t>
        </is>
      </c>
      <c r="Q107" s="4" t="inlineStr">
        <is>
          <t>clean visible growth, correct moisture, remove wet porous materials if extensive</t>
        </is>
      </c>
      <c r="R107" s="4" t="inlineStr">
        <is>
          <t>patchy_growth, discoloration, moisture_associated</t>
        </is>
      </c>
      <c r="S107" s="4" t="inlineStr">
        <is>
          <t>Ophiostoma visual group</t>
        </is>
      </c>
      <c r="T107" s="4" t="inlineStr">
        <is>
          <t>moderate</t>
        </is>
      </c>
      <c r="U107" s="4" t="inlineStr">
        <is>
          <t>common indoor / allergen potential</t>
        </is>
      </c>
      <c r="V107" s="4" t="inlineStr">
        <is>
          <t>24-48 hrs with persistent humidity</t>
        </is>
      </c>
      <c r="W107" s="4" t="inlineStr">
        <is>
          <t>air and/or surface depending on context</t>
        </is>
      </c>
      <c r="X107" s="4" t="inlineStr">
        <is>
          <t>no</t>
        </is>
      </c>
      <c r="Y107" s="4" t="inlineStr">
        <is>
          <t>white, gray, powdery, patchy</t>
        </is>
      </c>
      <c r="Z107" s="4" t="inlineStr">
        <is>
          <t>porous materials preferred; non-porous growth usually on possible via dust</t>
        </is>
      </c>
    </row>
    <row r="108">
      <c r="A108" s="4" t="inlineStr">
        <is>
          <t>Pithomyces chartarum</t>
        </is>
      </c>
      <c r="B108" s="4" t="inlineStr">
        <is>
          <t>Pithomyces</t>
        </is>
      </c>
      <c r="C108" s="4" t="inlineStr">
        <is>
          <t>Common indoor</t>
        </is>
      </c>
      <c r="D108" s="4" t="inlineStr">
        <is>
          <t>white</t>
        </is>
      </c>
      <c r="E108" s="4" t="inlineStr">
        <is>
          <t>gray</t>
        </is>
      </c>
      <c r="F108" s="4" t="inlineStr">
        <is>
          <t>powdery</t>
        </is>
      </c>
      <c r="G108" s="4" t="inlineStr">
        <is>
          <t>patchy</t>
        </is>
      </c>
      <c r="H108" s="4" t="inlineStr">
        <is>
          <t>drywall, wood, dust</t>
        </is>
      </c>
      <c r="I108" s="4" t="inlineStr">
        <is>
          <t>bathrooms, basements, HVAC, windows</t>
        </is>
      </c>
      <c r="J108" s="4" t="inlineStr">
        <is>
          <t>moderate</t>
        </is>
      </c>
      <c r="K108" s="4" t="inlineStr">
        <is>
          <t>60+</t>
        </is>
      </c>
      <c r="L108" s="4" t="inlineStr">
        <is>
          <t>15-32</t>
        </is>
      </c>
      <c r="M108" s="4" t="inlineStr">
        <is>
          <t>yes</t>
        </is>
      </c>
      <c r="N108" s="4" t="inlineStr">
        <is>
          <t>possible via dust</t>
        </is>
      </c>
      <c r="O108" s="4" t="inlineStr">
        <is>
          <t>low to moderate</t>
        </is>
      </c>
      <c r="P108" s="4" t="inlineStr">
        <is>
          <t>possible</t>
        </is>
      </c>
      <c r="Q108" s="4" t="inlineStr">
        <is>
          <t>clean visible growth, correct moisture, remove wet porous materials if extensive</t>
        </is>
      </c>
      <c r="R108" s="4" t="inlineStr">
        <is>
          <t>patchy_growth, discoloration, moisture_associated</t>
        </is>
      </c>
      <c r="S108" s="4" t="inlineStr">
        <is>
          <t>Pithomyces visual group</t>
        </is>
      </c>
      <c r="T108" s="4" t="inlineStr">
        <is>
          <t>moderate</t>
        </is>
      </c>
      <c r="U108" s="4" t="inlineStr">
        <is>
          <t>common indoor / allergen potential</t>
        </is>
      </c>
      <c r="V108" s="4" t="inlineStr">
        <is>
          <t>24-48 hrs with persistent humidity</t>
        </is>
      </c>
      <c r="W108" s="4" t="inlineStr">
        <is>
          <t>air and/or surface depending on context</t>
        </is>
      </c>
      <c r="X108" s="4" t="inlineStr">
        <is>
          <t>yes</t>
        </is>
      </c>
      <c r="Y108" s="4" t="inlineStr">
        <is>
          <t>white, gray, powdery, patchy</t>
        </is>
      </c>
      <c r="Z108" s="4" t="inlineStr">
        <is>
          <t>porous materials preferred; non-porous growth usually on possible via dust</t>
        </is>
      </c>
    </row>
    <row r="109">
      <c r="A109" s="4" t="inlineStr">
        <is>
          <t>Sporobolomyces roseus</t>
        </is>
      </c>
      <c r="B109" s="4" t="inlineStr">
        <is>
          <t>Sporobolomyces</t>
        </is>
      </c>
      <c r="C109" s="4" t="inlineStr">
        <is>
          <t>Common indoor</t>
        </is>
      </c>
      <c r="D109" s="4" t="inlineStr">
        <is>
          <t>white</t>
        </is>
      </c>
      <c r="E109" s="4" t="inlineStr">
        <is>
          <t>gray</t>
        </is>
      </c>
      <c r="F109" s="4" t="inlineStr">
        <is>
          <t>powdery</t>
        </is>
      </c>
      <c r="G109" s="4" t="inlineStr">
        <is>
          <t>patchy</t>
        </is>
      </c>
      <c r="H109" s="4" t="inlineStr">
        <is>
          <t>drywall, wood, dust</t>
        </is>
      </c>
      <c r="I109" s="4" t="inlineStr">
        <is>
          <t>bathrooms, basements, HVAC, windows</t>
        </is>
      </c>
      <c r="J109" s="4" t="inlineStr">
        <is>
          <t>moderate</t>
        </is>
      </c>
      <c r="K109" s="4" t="inlineStr">
        <is>
          <t>60+</t>
        </is>
      </c>
      <c r="L109" s="4" t="inlineStr">
        <is>
          <t>15-32</t>
        </is>
      </c>
      <c r="M109" s="4" t="inlineStr">
        <is>
          <t>yes</t>
        </is>
      </c>
      <c r="N109" s="4" t="inlineStr">
        <is>
          <t>possible via dust</t>
        </is>
      </c>
      <c r="O109" s="4" t="inlineStr">
        <is>
          <t>low to moderate</t>
        </is>
      </c>
      <c r="P109" s="4" t="inlineStr">
        <is>
          <t>possible</t>
        </is>
      </c>
      <c r="Q109" s="4" t="inlineStr">
        <is>
          <t>clean visible growth, correct moisture, remove wet porous materials if extensive</t>
        </is>
      </c>
      <c r="R109" s="4" t="inlineStr">
        <is>
          <t>patchy_growth, discoloration, moisture_associated</t>
        </is>
      </c>
      <c r="S109" s="4" t="inlineStr">
        <is>
          <t>Sporobolomyces visual group</t>
        </is>
      </c>
      <c r="T109" s="4" t="inlineStr">
        <is>
          <t>moderate</t>
        </is>
      </c>
      <c r="U109" s="4" t="inlineStr">
        <is>
          <t>common indoor / allergen potential</t>
        </is>
      </c>
      <c r="V109" s="4" t="inlineStr">
        <is>
          <t>24-48 hrs with persistent humidity</t>
        </is>
      </c>
      <c r="W109" s="4" t="inlineStr">
        <is>
          <t>air and/or surface depending on context</t>
        </is>
      </c>
      <c r="X109" s="4" t="inlineStr">
        <is>
          <t>no</t>
        </is>
      </c>
      <c r="Y109" s="4" t="inlineStr">
        <is>
          <t>white, gray, powdery, patchy</t>
        </is>
      </c>
      <c r="Z109" s="4" t="inlineStr">
        <is>
          <t>porous materials preferred; non-porous growth usually on possible via dust</t>
        </is>
      </c>
    </row>
    <row r="110">
      <c r="A110" s="4" t="inlineStr">
        <is>
          <t>Trichophyton mentagrophytes</t>
        </is>
      </c>
      <c r="B110" s="4" t="inlineStr">
        <is>
          <t>Trichophyton</t>
        </is>
      </c>
      <c r="C110" s="4" t="inlineStr">
        <is>
          <t>Common indoor</t>
        </is>
      </c>
      <c r="D110" s="4" t="inlineStr">
        <is>
          <t>white</t>
        </is>
      </c>
      <c r="E110" s="4" t="inlineStr">
        <is>
          <t>gray</t>
        </is>
      </c>
      <c r="F110" s="4" t="inlineStr">
        <is>
          <t>powdery</t>
        </is>
      </c>
      <c r="G110" s="4" t="inlineStr">
        <is>
          <t>patchy</t>
        </is>
      </c>
      <c r="H110" s="4" t="inlineStr">
        <is>
          <t>drywall, wood, dust</t>
        </is>
      </c>
      <c r="I110" s="4" t="inlineStr">
        <is>
          <t>bathrooms, basements, HVAC, windows</t>
        </is>
      </c>
      <c r="J110" s="4" t="inlineStr">
        <is>
          <t>moderate</t>
        </is>
      </c>
      <c r="K110" s="4" t="inlineStr">
        <is>
          <t>60+</t>
        </is>
      </c>
      <c r="L110" s="4" t="inlineStr">
        <is>
          <t>15-32</t>
        </is>
      </c>
      <c r="M110" s="4" t="inlineStr">
        <is>
          <t>yes</t>
        </is>
      </c>
      <c r="N110" s="4" t="inlineStr">
        <is>
          <t>possible via dust</t>
        </is>
      </c>
      <c r="O110" s="4" t="inlineStr">
        <is>
          <t>low to moderate</t>
        </is>
      </c>
      <c r="P110" s="4" t="inlineStr">
        <is>
          <t>possible</t>
        </is>
      </c>
      <c r="Q110" s="4" t="inlineStr">
        <is>
          <t>clean visible growth, correct moisture, remove wet porous materials if extensive</t>
        </is>
      </c>
      <c r="R110" s="4" t="inlineStr">
        <is>
          <t>patchy_growth, discoloration, moisture_associated</t>
        </is>
      </c>
      <c r="S110" s="4" t="inlineStr">
        <is>
          <t>Trichophyton visual group</t>
        </is>
      </c>
      <c r="T110" s="4" t="inlineStr">
        <is>
          <t>moderate</t>
        </is>
      </c>
      <c r="U110" s="4" t="inlineStr">
        <is>
          <t>common indoor / allergen potential</t>
        </is>
      </c>
      <c r="V110" s="4" t="inlineStr">
        <is>
          <t>24-48 hrs with persistent humidity</t>
        </is>
      </c>
      <c r="W110" s="4" t="inlineStr">
        <is>
          <t>air and/or surface depending on context</t>
        </is>
      </c>
      <c r="X110" s="4" t="inlineStr">
        <is>
          <t>no</t>
        </is>
      </c>
      <c r="Y110" s="4" t="inlineStr">
        <is>
          <t>white, gray, powdery, patchy</t>
        </is>
      </c>
      <c r="Z110" s="4" t="inlineStr">
        <is>
          <t>porous materials preferred; non-porous growth usually on possible via dust</t>
        </is>
      </c>
    </row>
    <row r="111">
      <c r="A111" s="4" t="inlineStr">
        <is>
          <t>Microsporum gypseum</t>
        </is>
      </c>
      <c r="B111" s="4" t="inlineStr">
        <is>
          <t>Microsporum</t>
        </is>
      </c>
      <c r="C111" s="4" t="inlineStr">
        <is>
          <t>Common indoor</t>
        </is>
      </c>
      <c r="D111" s="4" t="inlineStr">
        <is>
          <t>white</t>
        </is>
      </c>
      <c r="E111" s="4" t="inlineStr">
        <is>
          <t>gray</t>
        </is>
      </c>
      <c r="F111" s="4" t="inlineStr">
        <is>
          <t>powdery</t>
        </is>
      </c>
      <c r="G111" s="4" t="inlineStr">
        <is>
          <t>patchy</t>
        </is>
      </c>
      <c r="H111" s="4" t="inlineStr">
        <is>
          <t>drywall, wood, dust</t>
        </is>
      </c>
      <c r="I111" s="4" t="inlineStr">
        <is>
          <t>bathrooms, basements, HVAC, windows</t>
        </is>
      </c>
      <c r="J111" s="4" t="inlineStr">
        <is>
          <t>moderate</t>
        </is>
      </c>
      <c r="K111" s="4" t="inlineStr">
        <is>
          <t>60+</t>
        </is>
      </c>
      <c r="L111" s="4" t="inlineStr">
        <is>
          <t>15-32</t>
        </is>
      </c>
      <c r="M111" s="4" t="inlineStr">
        <is>
          <t>yes</t>
        </is>
      </c>
      <c r="N111" s="4" t="inlineStr">
        <is>
          <t>possible via dust</t>
        </is>
      </c>
      <c r="O111" s="4" t="inlineStr">
        <is>
          <t>low to moderate</t>
        </is>
      </c>
      <c r="P111" s="4" t="inlineStr">
        <is>
          <t>possible</t>
        </is>
      </c>
      <c r="Q111" s="4" t="inlineStr">
        <is>
          <t>clean visible growth, correct moisture, remove wet porous materials if extensive</t>
        </is>
      </c>
      <c r="R111" s="4" t="inlineStr">
        <is>
          <t>patchy_growth, discoloration, moisture_associated</t>
        </is>
      </c>
      <c r="S111" s="4" t="inlineStr">
        <is>
          <t>Microsporum visual group</t>
        </is>
      </c>
      <c r="T111" s="4" t="inlineStr">
        <is>
          <t>moderate</t>
        </is>
      </c>
      <c r="U111" s="4" t="inlineStr">
        <is>
          <t>common indoor / allergen potential</t>
        </is>
      </c>
      <c r="V111" s="4" t="inlineStr">
        <is>
          <t>24-48 hrs with persistent humidity</t>
        </is>
      </c>
      <c r="W111" s="4" t="inlineStr">
        <is>
          <t>air and/or surface depending on context</t>
        </is>
      </c>
      <c r="X111" s="4" t="inlineStr">
        <is>
          <t>no</t>
        </is>
      </c>
      <c r="Y111" s="4" t="inlineStr">
        <is>
          <t>white, gray, powdery, patchy</t>
        </is>
      </c>
      <c r="Z111" s="4" t="inlineStr">
        <is>
          <t>porous materials preferred; non-porous growth usually on possible via dust</t>
        </is>
      </c>
    </row>
    <row r="112">
      <c r="A112" s="4" t="inlineStr">
        <is>
          <t>Hortaea werneckii</t>
        </is>
      </c>
      <c r="B112" s="4" t="inlineStr">
        <is>
          <t>Hortaea</t>
        </is>
      </c>
      <c r="C112" s="4" t="inlineStr">
        <is>
          <t>Common indoor</t>
        </is>
      </c>
      <c r="D112" s="4" t="inlineStr">
        <is>
          <t>white</t>
        </is>
      </c>
      <c r="E112" s="4" t="inlineStr">
        <is>
          <t>gray</t>
        </is>
      </c>
      <c r="F112" s="4" t="inlineStr">
        <is>
          <t>powdery</t>
        </is>
      </c>
      <c r="G112" s="4" t="inlineStr">
        <is>
          <t>patchy</t>
        </is>
      </c>
      <c r="H112" s="4" t="inlineStr">
        <is>
          <t>drywall, wood, dust</t>
        </is>
      </c>
      <c r="I112" s="4" t="inlineStr">
        <is>
          <t>bathrooms, basements, HVAC, windows</t>
        </is>
      </c>
      <c r="J112" s="4" t="inlineStr">
        <is>
          <t>moderate</t>
        </is>
      </c>
      <c r="K112" s="4" t="inlineStr">
        <is>
          <t>60+</t>
        </is>
      </c>
      <c r="L112" s="4" t="inlineStr">
        <is>
          <t>15-32</t>
        </is>
      </c>
      <c r="M112" s="4" t="inlineStr">
        <is>
          <t>yes</t>
        </is>
      </c>
      <c r="N112" s="4" t="inlineStr">
        <is>
          <t>possible via dust</t>
        </is>
      </c>
      <c r="O112" s="4" t="inlineStr">
        <is>
          <t>low to moderate</t>
        </is>
      </c>
      <c r="P112" s="4" t="inlineStr">
        <is>
          <t>possible</t>
        </is>
      </c>
      <c r="Q112" s="4" t="inlineStr">
        <is>
          <t>clean visible growth, correct moisture, remove wet porous materials if extensive</t>
        </is>
      </c>
      <c r="R112" s="4" t="inlineStr">
        <is>
          <t>patchy_growth, discoloration, moisture_associated</t>
        </is>
      </c>
      <c r="S112" s="4" t="inlineStr">
        <is>
          <t>Hortaea visual group</t>
        </is>
      </c>
      <c r="T112" s="4" t="inlineStr">
        <is>
          <t>moderate</t>
        </is>
      </c>
      <c r="U112" s="4" t="inlineStr">
        <is>
          <t>common indoor / allergen potential</t>
        </is>
      </c>
      <c r="V112" s="4" t="inlineStr">
        <is>
          <t>24-48 hrs with persistent humidity</t>
        </is>
      </c>
      <c r="W112" s="4" t="inlineStr">
        <is>
          <t>air and/or surface depending on context</t>
        </is>
      </c>
      <c r="X112" s="4" t="inlineStr">
        <is>
          <t>no</t>
        </is>
      </c>
      <c r="Y112" s="4" t="inlineStr">
        <is>
          <t>white, gray, powdery, patchy</t>
        </is>
      </c>
      <c r="Z112" s="4" t="inlineStr">
        <is>
          <t>porous materials preferred; non-porous growth usually on possible via dust</t>
        </is>
      </c>
    </row>
    <row r="113">
      <c r="A113" s="4" t="inlineStr">
        <is>
          <t>Scytalidium dimidiatum</t>
        </is>
      </c>
      <c r="B113" s="4" t="inlineStr">
        <is>
          <t>Scytalidium</t>
        </is>
      </c>
      <c r="C113" s="4" t="inlineStr">
        <is>
          <t>Common indoor</t>
        </is>
      </c>
      <c r="D113" s="4" t="inlineStr">
        <is>
          <t>white</t>
        </is>
      </c>
      <c r="E113" s="4" t="inlineStr">
        <is>
          <t>gray</t>
        </is>
      </c>
      <c r="F113" s="4" t="inlineStr">
        <is>
          <t>powdery</t>
        </is>
      </c>
      <c r="G113" s="4" t="inlineStr">
        <is>
          <t>patchy</t>
        </is>
      </c>
      <c r="H113" s="4" t="inlineStr">
        <is>
          <t>drywall, wood, dust</t>
        </is>
      </c>
      <c r="I113" s="4" t="inlineStr">
        <is>
          <t>bathrooms, basements, HVAC, windows</t>
        </is>
      </c>
      <c r="J113" s="4" t="inlineStr">
        <is>
          <t>moderate</t>
        </is>
      </c>
      <c r="K113" s="4" t="inlineStr">
        <is>
          <t>60+</t>
        </is>
      </c>
      <c r="L113" s="4" t="inlineStr">
        <is>
          <t>15-32</t>
        </is>
      </c>
      <c r="M113" s="4" t="inlineStr">
        <is>
          <t>yes</t>
        </is>
      </c>
      <c r="N113" s="4" t="inlineStr">
        <is>
          <t>possible via dust</t>
        </is>
      </c>
      <c r="O113" s="4" t="inlineStr">
        <is>
          <t>low to moderate</t>
        </is>
      </c>
      <c r="P113" s="4" t="inlineStr">
        <is>
          <t>possible</t>
        </is>
      </c>
      <c r="Q113" s="4" t="inlineStr">
        <is>
          <t>clean visible growth, correct moisture, remove wet porous materials if extensive</t>
        </is>
      </c>
      <c r="R113" s="4" t="inlineStr">
        <is>
          <t>patchy_growth, discoloration, moisture_associated</t>
        </is>
      </c>
      <c r="S113" s="4" t="inlineStr">
        <is>
          <t>Scytalidium visual group</t>
        </is>
      </c>
      <c r="T113" s="4" t="inlineStr">
        <is>
          <t>moderate</t>
        </is>
      </c>
      <c r="U113" s="4" t="inlineStr">
        <is>
          <t>common indoor / allergen potential</t>
        </is>
      </c>
      <c r="V113" s="4" t="inlineStr">
        <is>
          <t>24-48 hrs with persistent humidity</t>
        </is>
      </c>
      <c r="W113" s="4" t="inlineStr">
        <is>
          <t>air and/or surface depending on context</t>
        </is>
      </c>
      <c r="X113" s="4" t="inlineStr">
        <is>
          <t>no</t>
        </is>
      </c>
      <c r="Y113" s="4" t="inlineStr">
        <is>
          <t>white, gray, powdery, patchy</t>
        </is>
      </c>
      <c r="Z113" s="4" t="inlineStr">
        <is>
          <t>porous materials preferred; non-porous growth usually on possible via dust</t>
        </is>
      </c>
    </row>
    <row r="114">
      <c r="A114" s="4" t="inlineStr">
        <is>
          <t>Rhizomucor pusillus</t>
        </is>
      </c>
      <c r="B114" s="4" t="inlineStr">
        <is>
          <t>Rhizomucor</t>
        </is>
      </c>
      <c r="C114" s="4" t="inlineStr">
        <is>
          <t>Common indoor</t>
        </is>
      </c>
      <c r="D114" s="4" t="inlineStr">
        <is>
          <t>white</t>
        </is>
      </c>
      <c r="E114" s="4" t="inlineStr">
        <is>
          <t>gray</t>
        </is>
      </c>
      <c r="F114" s="4" t="inlineStr">
        <is>
          <t>powdery</t>
        </is>
      </c>
      <c r="G114" s="4" t="inlineStr">
        <is>
          <t>patchy</t>
        </is>
      </c>
      <c r="H114" s="4" t="inlineStr">
        <is>
          <t>drywall, wood, dust</t>
        </is>
      </c>
      <c r="I114" s="4" t="inlineStr">
        <is>
          <t>bathrooms, basements, HVAC, windows</t>
        </is>
      </c>
      <c r="J114" s="4" t="inlineStr">
        <is>
          <t>moderate</t>
        </is>
      </c>
      <c r="K114" s="4" t="inlineStr">
        <is>
          <t>60+</t>
        </is>
      </c>
      <c r="L114" s="4" t="inlineStr">
        <is>
          <t>15-32</t>
        </is>
      </c>
      <c r="M114" s="4" t="inlineStr">
        <is>
          <t>yes</t>
        </is>
      </c>
      <c r="N114" s="4" t="inlineStr">
        <is>
          <t>possible via dust</t>
        </is>
      </c>
      <c r="O114" s="4" t="inlineStr">
        <is>
          <t>low to moderate</t>
        </is>
      </c>
      <c r="P114" s="4" t="inlineStr">
        <is>
          <t>possible</t>
        </is>
      </c>
      <c r="Q114" s="4" t="inlineStr">
        <is>
          <t>clean visible growth, correct moisture, remove wet porous materials if extensive</t>
        </is>
      </c>
      <c r="R114" s="4" t="inlineStr">
        <is>
          <t>patchy_growth, discoloration, moisture_associated</t>
        </is>
      </c>
      <c r="S114" s="4" t="inlineStr">
        <is>
          <t>Rhizomucor visual group</t>
        </is>
      </c>
      <c r="T114" s="4" t="inlineStr">
        <is>
          <t>moderate</t>
        </is>
      </c>
      <c r="U114" s="4" t="inlineStr">
        <is>
          <t>common indoor / allergen potential</t>
        </is>
      </c>
      <c r="V114" s="4" t="inlineStr">
        <is>
          <t>24-48 hrs with persistent humidity</t>
        </is>
      </c>
      <c r="W114" s="4" t="inlineStr">
        <is>
          <t>air and/or surface depending on context</t>
        </is>
      </c>
      <c r="X114" s="4" t="inlineStr">
        <is>
          <t>no</t>
        </is>
      </c>
      <c r="Y114" s="4" t="inlineStr">
        <is>
          <t>white, gray, powdery, patchy</t>
        </is>
      </c>
      <c r="Z114" s="4" t="inlineStr">
        <is>
          <t>porous materials preferred; non-porous growth usually on possible via dust</t>
        </is>
      </c>
    </row>
    <row r="115">
      <c r="A115" s="4" t="inlineStr">
        <is>
          <t>Meyerozyma guilliermondii</t>
        </is>
      </c>
      <c r="B115" s="4" t="inlineStr">
        <is>
          <t>Meyerozyma</t>
        </is>
      </c>
      <c r="C115" s="4" t="inlineStr">
        <is>
          <t>Common indoor</t>
        </is>
      </c>
      <c r="D115" s="4" t="inlineStr">
        <is>
          <t>white</t>
        </is>
      </c>
      <c r="E115" s="4" t="inlineStr">
        <is>
          <t>gray</t>
        </is>
      </c>
      <c r="F115" s="4" t="inlineStr">
        <is>
          <t>powdery</t>
        </is>
      </c>
      <c r="G115" s="4" t="inlineStr">
        <is>
          <t>patchy</t>
        </is>
      </c>
      <c r="H115" s="4" t="inlineStr">
        <is>
          <t>drywall, wood, dust</t>
        </is>
      </c>
      <c r="I115" s="4" t="inlineStr">
        <is>
          <t>bathrooms, basements, HVAC, windows</t>
        </is>
      </c>
      <c r="J115" s="4" t="inlineStr">
        <is>
          <t>moderate</t>
        </is>
      </c>
      <c r="K115" s="4" t="inlineStr">
        <is>
          <t>60+</t>
        </is>
      </c>
      <c r="L115" s="4" t="inlineStr">
        <is>
          <t>15-32</t>
        </is>
      </c>
      <c r="M115" s="4" t="inlineStr">
        <is>
          <t>yes</t>
        </is>
      </c>
      <c r="N115" s="4" t="inlineStr">
        <is>
          <t>possible via dust</t>
        </is>
      </c>
      <c r="O115" s="4" t="inlineStr">
        <is>
          <t>low to moderate</t>
        </is>
      </c>
      <c r="P115" s="4" t="inlineStr">
        <is>
          <t>possible</t>
        </is>
      </c>
      <c r="Q115" s="4" t="inlineStr">
        <is>
          <t>clean visible growth, correct moisture, remove wet porous materials if extensive</t>
        </is>
      </c>
      <c r="R115" s="4" t="inlineStr">
        <is>
          <t>patchy_growth, discoloration, moisture_associated</t>
        </is>
      </c>
      <c r="S115" s="4" t="inlineStr">
        <is>
          <t>Meyerozyma visual group</t>
        </is>
      </c>
      <c r="T115" s="4" t="inlineStr">
        <is>
          <t>moderate</t>
        </is>
      </c>
      <c r="U115" s="4" t="inlineStr">
        <is>
          <t>common indoor / allergen potential</t>
        </is>
      </c>
      <c r="V115" s="4" t="inlineStr">
        <is>
          <t>24-48 hrs with persistent humidity</t>
        </is>
      </c>
      <c r="W115" s="4" t="inlineStr">
        <is>
          <t>air and/or surface depending on context</t>
        </is>
      </c>
      <c r="X115" s="4" t="inlineStr">
        <is>
          <t>no</t>
        </is>
      </c>
      <c r="Y115" s="4" t="inlineStr">
        <is>
          <t>white, gray, powdery, patchy</t>
        </is>
      </c>
      <c r="Z115" s="4" t="inlineStr">
        <is>
          <t>porous materials preferred; non-porous growth usually on possible via dust</t>
        </is>
      </c>
    </row>
    <row r="116">
      <c r="A116" s="4" t="inlineStr">
        <is>
          <t>Candida parapsilosis</t>
        </is>
      </c>
      <c r="B116" s="4" t="inlineStr">
        <is>
          <t>Candida</t>
        </is>
      </c>
      <c r="C116" s="4" t="inlineStr">
        <is>
          <t>Common indoor</t>
        </is>
      </c>
      <c r="D116" s="4" t="inlineStr">
        <is>
          <t>white</t>
        </is>
      </c>
      <c r="E116" s="4" t="inlineStr">
        <is>
          <t>gray</t>
        </is>
      </c>
      <c r="F116" s="4" t="inlineStr">
        <is>
          <t>powdery</t>
        </is>
      </c>
      <c r="G116" s="4" t="inlineStr">
        <is>
          <t>patchy</t>
        </is>
      </c>
      <c r="H116" s="4" t="inlineStr">
        <is>
          <t>drywall, wood, dust</t>
        </is>
      </c>
      <c r="I116" s="4" t="inlineStr">
        <is>
          <t>bathrooms, basements, HVAC, windows</t>
        </is>
      </c>
      <c r="J116" s="4" t="inlineStr">
        <is>
          <t>moderate</t>
        </is>
      </c>
      <c r="K116" s="4" t="inlineStr">
        <is>
          <t>60+</t>
        </is>
      </c>
      <c r="L116" s="4" t="inlineStr">
        <is>
          <t>15-32</t>
        </is>
      </c>
      <c r="M116" s="4" t="inlineStr">
        <is>
          <t>yes</t>
        </is>
      </c>
      <c r="N116" s="4" t="inlineStr">
        <is>
          <t>possible via dust</t>
        </is>
      </c>
      <c r="O116" s="4" t="inlineStr">
        <is>
          <t>low to moderate</t>
        </is>
      </c>
      <c r="P116" s="4" t="inlineStr">
        <is>
          <t>possible</t>
        </is>
      </c>
      <c r="Q116" s="4" t="inlineStr">
        <is>
          <t>clean visible growth, correct moisture, remove wet porous materials if extensive</t>
        </is>
      </c>
      <c r="R116" s="4" t="inlineStr">
        <is>
          <t>patchy_growth, discoloration, moisture_associated</t>
        </is>
      </c>
      <c r="S116" s="4" t="inlineStr">
        <is>
          <t>Candida visual group</t>
        </is>
      </c>
      <c r="T116" s="4" t="inlineStr">
        <is>
          <t>moderate</t>
        </is>
      </c>
      <c r="U116" s="4" t="inlineStr">
        <is>
          <t>common indoor / allergen potential</t>
        </is>
      </c>
      <c r="V116" s="4" t="inlineStr">
        <is>
          <t>24-48 hrs with persistent humidity</t>
        </is>
      </c>
      <c r="W116" s="4" t="inlineStr">
        <is>
          <t>air and/or surface depending on context</t>
        </is>
      </c>
      <c r="X116" s="4" t="inlineStr">
        <is>
          <t>no</t>
        </is>
      </c>
      <c r="Y116" s="4" t="inlineStr">
        <is>
          <t>white, gray, powdery, patchy</t>
        </is>
      </c>
      <c r="Z116" s="4" t="inlineStr">
        <is>
          <t>porous materials preferred; non-porous growth usually on possible via dust</t>
        </is>
      </c>
    </row>
    <row r="117">
      <c r="A117" s="4" t="inlineStr">
        <is>
          <t>Candida tropicalis</t>
        </is>
      </c>
      <c r="B117" s="4" t="inlineStr">
        <is>
          <t>Candida</t>
        </is>
      </c>
      <c r="C117" s="4" t="inlineStr">
        <is>
          <t>Common indoor</t>
        </is>
      </c>
      <c r="D117" s="4" t="inlineStr">
        <is>
          <t>white</t>
        </is>
      </c>
      <c r="E117" s="4" t="inlineStr">
        <is>
          <t>gray</t>
        </is>
      </c>
      <c r="F117" s="4" t="inlineStr">
        <is>
          <t>powdery</t>
        </is>
      </c>
      <c r="G117" s="4" t="inlineStr">
        <is>
          <t>patchy</t>
        </is>
      </c>
      <c r="H117" s="4" t="inlineStr">
        <is>
          <t>drywall, wood, dust</t>
        </is>
      </c>
      <c r="I117" s="4" t="inlineStr">
        <is>
          <t>bathrooms, basements, HVAC, windows</t>
        </is>
      </c>
      <c r="J117" s="4" t="inlineStr">
        <is>
          <t>moderate</t>
        </is>
      </c>
      <c r="K117" s="4" t="inlineStr">
        <is>
          <t>60+</t>
        </is>
      </c>
      <c r="L117" s="4" t="inlineStr">
        <is>
          <t>15-32</t>
        </is>
      </c>
      <c r="M117" s="4" t="inlineStr">
        <is>
          <t>yes</t>
        </is>
      </c>
      <c r="N117" s="4" t="inlineStr">
        <is>
          <t>possible via dust</t>
        </is>
      </c>
      <c r="O117" s="4" t="inlineStr">
        <is>
          <t>low to moderate</t>
        </is>
      </c>
      <c r="P117" s="4" t="inlineStr">
        <is>
          <t>possible</t>
        </is>
      </c>
      <c r="Q117" s="4" t="inlineStr">
        <is>
          <t>clean visible growth, correct moisture, remove wet porous materials if extensive</t>
        </is>
      </c>
      <c r="R117" s="4" t="inlineStr">
        <is>
          <t>patchy_growth, discoloration, moisture_associated</t>
        </is>
      </c>
      <c r="S117" s="4" t="inlineStr">
        <is>
          <t>Candida visual group</t>
        </is>
      </c>
      <c r="T117" s="4" t="inlineStr">
        <is>
          <t>moderate</t>
        </is>
      </c>
      <c r="U117" s="4" t="inlineStr">
        <is>
          <t>common indoor / allergen potential</t>
        </is>
      </c>
      <c r="V117" s="4" t="inlineStr">
        <is>
          <t>24-48 hrs with persistent humidity</t>
        </is>
      </c>
      <c r="W117" s="4" t="inlineStr">
        <is>
          <t>air and/or surface depending on context</t>
        </is>
      </c>
      <c r="X117" s="4" t="inlineStr">
        <is>
          <t>no</t>
        </is>
      </c>
      <c r="Y117" s="4" t="inlineStr">
        <is>
          <t>white, gray, powdery, patchy</t>
        </is>
      </c>
      <c r="Z117" s="4" t="inlineStr">
        <is>
          <t>porous materials preferred; non-porous growth usually on possible via dust</t>
        </is>
      </c>
    </row>
    <row r="118">
      <c r="A118" s="4" t="inlineStr">
        <is>
          <t>Rhodotorula mucilaginosa</t>
        </is>
      </c>
      <c r="B118" s="4" t="inlineStr">
        <is>
          <t>Rhodotorula</t>
        </is>
      </c>
      <c r="C118" s="4" t="inlineStr">
        <is>
          <t>Common indoor</t>
        </is>
      </c>
      <c r="D118" s="4" t="inlineStr">
        <is>
          <t>white</t>
        </is>
      </c>
      <c r="E118" s="4" t="inlineStr">
        <is>
          <t>gray</t>
        </is>
      </c>
      <c r="F118" s="4" t="inlineStr">
        <is>
          <t>powdery</t>
        </is>
      </c>
      <c r="G118" s="4" t="inlineStr">
        <is>
          <t>patchy</t>
        </is>
      </c>
      <c r="H118" s="4" t="inlineStr">
        <is>
          <t>drywall, wood, dust</t>
        </is>
      </c>
      <c r="I118" s="4" t="inlineStr">
        <is>
          <t>bathrooms, basements, HVAC, windows</t>
        </is>
      </c>
      <c r="J118" s="4" t="inlineStr">
        <is>
          <t>moderate</t>
        </is>
      </c>
      <c r="K118" s="4" t="inlineStr">
        <is>
          <t>60+</t>
        </is>
      </c>
      <c r="L118" s="4" t="inlineStr">
        <is>
          <t>15-32</t>
        </is>
      </c>
      <c r="M118" s="4" t="inlineStr">
        <is>
          <t>yes</t>
        </is>
      </c>
      <c r="N118" s="4" t="inlineStr">
        <is>
          <t>possible via dust</t>
        </is>
      </c>
      <c r="O118" s="4" t="inlineStr">
        <is>
          <t>low to moderate</t>
        </is>
      </c>
      <c r="P118" s="4" t="inlineStr">
        <is>
          <t>possible</t>
        </is>
      </c>
      <c r="Q118" s="4" t="inlineStr">
        <is>
          <t>clean visible growth, correct moisture, remove wet porous materials if extensive</t>
        </is>
      </c>
      <c r="R118" s="4" t="inlineStr">
        <is>
          <t>patchy_growth, discoloration, moisture_associated</t>
        </is>
      </c>
      <c r="S118" s="4" t="inlineStr">
        <is>
          <t>Rhodotorula visual group</t>
        </is>
      </c>
      <c r="T118" s="4" t="inlineStr">
        <is>
          <t>moderate</t>
        </is>
      </c>
      <c r="U118" s="4" t="inlineStr">
        <is>
          <t>common indoor / allergen potential</t>
        </is>
      </c>
      <c r="V118" s="4" t="inlineStr">
        <is>
          <t>24-48 hrs with persistent humidity</t>
        </is>
      </c>
      <c r="W118" s="4" t="inlineStr">
        <is>
          <t>air and/or surface depending on context</t>
        </is>
      </c>
      <c r="X118" s="4" t="inlineStr">
        <is>
          <t>no</t>
        </is>
      </c>
      <c r="Y118" s="4" t="inlineStr">
        <is>
          <t>white, gray, powdery, patchy</t>
        </is>
      </c>
      <c r="Z118" s="4" t="inlineStr">
        <is>
          <t>porous materials preferred; non-porous growth usually on possible via dust</t>
        </is>
      </c>
    </row>
    <row r="119">
      <c r="A119" s="4" t="inlineStr">
        <is>
          <t>Debaryomyces hansenii</t>
        </is>
      </c>
      <c r="B119" s="4" t="inlineStr">
        <is>
          <t>Debaryomyces</t>
        </is>
      </c>
      <c r="C119" s="4" t="inlineStr">
        <is>
          <t>Common indoor</t>
        </is>
      </c>
      <c r="D119" s="4" t="inlineStr">
        <is>
          <t>white</t>
        </is>
      </c>
      <c r="E119" s="4" t="inlineStr">
        <is>
          <t>gray</t>
        </is>
      </c>
      <c r="F119" s="4" t="inlineStr">
        <is>
          <t>powdery</t>
        </is>
      </c>
      <c r="G119" s="4" t="inlineStr">
        <is>
          <t>patchy</t>
        </is>
      </c>
      <c r="H119" s="4" t="inlineStr">
        <is>
          <t>drywall, wood, dust</t>
        </is>
      </c>
      <c r="I119" s="4" t="inlineStr">
        <is>
          <t>bathrooms, basements, HVAC, windows</t>
        </is>
      </c>
      <c r="J119" s="4" t="inlineStr">
        <is>
          <t>moderate</t>
        </is>
      </c>
      <c r="K119" s="4" t="inlineStr">
        <is>
          <t>60+</t>
        </is>
      </c>
      <c r="L119" s="4" t="inlineStr">
        <is>
          <t>15-32</t>
        </is>
      </c>
      <c r="M119" s="4" t="inlineStr">
        <is>
          <t>yes</t>
        </is>
      </c>
      <c r="N119" s="4" t="inlineStr">
        <is>
          <t>possible via dust</t>
        </is>
      </c>
      <c r="O119" s="4" t="inlineStr">
        <is>
          <t>low to moderate</t>
        </is>
      </c>
      <c r="P119" s="4" t="inlineStr">
        <is>
          <t>possible</t>
        </is>
      </c>
      <c r="Q119" s="4" t="inlineStr">
        <is>
          <t>clean visible growth, correct moisture, remove wet porous materials if extensive</t>
        </is>
      </c>
      <c r="R119" s="4" t="inlineStr">
        <is>
          <t>patchy_growth, discoloration, moisture_associated</t>
        </is>
      </c>
      <c r="S119" s="4" t="inlineStr">
        <is>
          <t>Debaryomyces visual group</t>
        </is>
      </c>
      <c r="T119" s="4" t="inlineStr">
        <is>
          <t>moderate</t>
        </is>
      </c>
      <c r="U119" s="4" t="inlineStr">
        <is>
          <t>common indoor / allergen potential</t>
        </is>
      </c>
      <c r="V119" s="4" t="inlineStr">
        <is>
          <t>24-48 hrs with persistent humidity</t>
        </is>
      </c>
      <c r="W119" s="4" t="inlineStr">
        <is>
          <t>air and/or surface depending on context</t>
        </is>
      </c>
      <c r="X119" s="4" t="inlineStr">
        <is>
          <t>no</t>
        </is>
      </c>
      <c r="Y119" s="4" t="inlineStr">
        <is>
          <t>white, gray, powdery, patchy</t>
        </is>
      </c>
      <c r="Z119" s="4" t="inlineStr">
        <is>
          <t>porous materials preferred; non-porous growth usually on possible via dust</t>
        </is>
      </c>
    </row>
    <row r="120">
      <c r="A120" s="4" t="inlineStr">
        <is>
          <t>Malassezia furfur</t>
        </is>
      </c>
      <c r="B120" s="4" t="inlineStr">
        <is>
          <t>Malassezia</t>
        </is>
      </c>
      <c r="C120" s="4" t="inlineStr">
        <is>
          <t>Common indoor</t>
        </is>
      </c>
      <c r="D120" s="4" t="inlineStr">
        <is>
          <t>white</t>
        </is>
      </c>
      <c r="E120" s="4" t="inlineStr">
        <is>
          <t>gray</t>
        </is>
      </c>
      <c r="F120" s="4" t="inlineStr">
        <is>
          <t>powdery</t>
        </is>
      </c>
      <c r="G120" s="4" t="inlineStr">
        <is>
          <t>patchy</t>
        </is>
      </c>
      <c r="H120" s="4" t="inlineStr">
        <is>
          <t>drywall, wood, dust</t>
        </is>
      </c>
      <c r="I120" s="4" t="inlineStr">
        <is>
          <t>bathrooms, basements, HVAC, windows</t>
        </is>
      </c>
      <c r="J120" s="4" t="inlineStr">
        <is>
          <t>moderate</t>
        </is>
      </c>
      <c r="K120" s="4" t="inlineStr">
        <is>
          <t>60+</t>
        </is>
      </c>
      <c r="L120" s="4" t="inlineStr">
        <is>
          <t>15-32</t>
        </is>
      </c>
      <c r="M120" s="4" t="inlineStr">
        <is>
          <t>yes</t>
        </is>
      </c>
      <c r="N120" s="4" t="inlineStr">
        <is>
          <t>possible via dust</t>
        </is>
      </c>
      <c r="O120" s="4" t="inlineStr">
        <is>
          <t>low to moderate</t>
        </is>
      </c>
      <c r="P120" s="4" t="inlineStr">
        <is>
          <t>possible</t>
        </is>
      </c>
      <c r="Q120" s="4" t="inlineStr">
        <is>
          <t>clean visible growth, correct moisture, remove wet porous materials if extensive</t>
        </is>
      </c>
      <c r="R120" s="4" t="inlineStr">
        <is>
          <t>patchy_growth, discoloration, moisture_associated</t>
        </is>
      </c>
      <c r="S120" s="4" t="inlineStr">
        <is>
          <t>Malassezia visual group</t>
        </is>
      </c>
      <c r="T120" s="4" t="inlineStr">
        <is>
          <t>moderate</t>
        </is>
      </c>
      <c r="U120" s="4" t="inlineStr">
        <is>
          <t>common indoor / allergen potential</t>
        </is>
      </c>
      <c r="V120" s="4" t="inlineStr">
        <is>
          <t>24-48 hrs with persistent humidity</t>
        </is>
      </c>
      <c r="W120" s="4" t="inlineStr">
        <is>
          <t>air and/or surface depending on context</t>
        </is>
      </c>
      <c r="X120" s="4" t="inlineStr">
        <is>
          <t>no</t>
        </is>
      </c>
      <c r="Y120" s="4" t="inlineStr">
        <is>
          <t>white, gray, powdery, patchy</t>
        </is>
      </c>
      <c r="Z120" s="4" t="inlineStr">
        <is>
          <t>porous materials preferred; non-porous growth usually on possible via dust</t>
        </is>
      </c>
    </row>
  </sheetData>
  <mergeCells count="4">
    <mergeCell ref="A1:Z1"/>
    <mergeCell ref="A2:R2"/>
    <mergeCell ref="A1:R1"/>
    <mergeCell ref="A2:Z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85" customWidth="1" min="4" max="4"/>
  </cols>
  <sheetData>
    <row r="1" ht="22" customHeight="1">
      <c r="A1" s="25" t="inlineStr">
        <is>
          <t>Home Health AI Mold Database v7 Full AI Mold Intelligence System – Summary</t>
        </is>
      </c>
    </row>
    <row r="2" ht="22" customHeight="1">
      <c r="A2" s="24" t="inlineStr">
        <is>
          <t>Executive metrics for Home Health AI / Inspector Gnome.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</row>
    <row r="3">
      <c r="A3" s="26" t="inlineStr">
        <is>
          <t>Total species</t>
        </is>
      </c>
      <c r="B3" s="27">
        <f>COUNTA('Mold Species Database'!A4:A1000)</f>
        <v/>
      </c>
      <c r="D3" s="4" t="inlineStr">
        <is>
          <t>All homes contain mold spores. The problem is elevated indoor spore levels and/or active colony growth driven by moisture.</t>
        </is>
      </c>
    </row>
    <row r="4" ht="22" customHeight="1">
      <c r="A4" s="26" t="inlineStr">
        <is>
          <t>Unique genera</t>
        </is>
      </c>
      <c r="B4" s="27" t="n">
        <v>68</v>
      </c>
      <c r="D4" t="inlineStr">
        <is>
          <t>Use moisture + material + visual pattern + lab context together. Never diagnose from color alone.</t>
        </is>
      </c>
    </row>
    <row r="5">
      <c r="A5" s="26" t="inlineStr">
        <is>
          <t>High moisture species</t>
        </is>
      </c>
      <c r="B5" s="27">
        <f>COUNTIF('Mold Species Database'!J4:J1000,"high")</f>
        <v/>
      </c>
      <c r="D5" t="inlineStr">
        <is>
          <t>High-moisture molds are stronger indicators of chronic wet conditions.</t>
        </is>
      </c>
    </row>
    <row r="6">
      <c r="A6" s="26" t="inlineStr">
        <is>
          <t>Moderate moisture species</t>
        </is>
      </c>
      <c r="B6" s="27">
        <f>COUNTIF('Mold Species Database'!J4:J1000,"moderate")</f>
        <v/>
      </c>
      <c r="D6" t="inlineStr">
        <is>
          <t>Moderate-moisture molds may appear with humidity, condensation, HVAC, or intermittent leaks.</t>
        </is>
      </c>
    </row>
    <row r="7">
      <c r="A7" s="26" t="inlineStr">
        <is>
          <t>Low moisture species</t>
        </is>
      </c>
      <c r="B7" s="27">
        <f>COUNTIF('Mold Species Database'!J4:J1000,"low")</f>
        <v/>
      </c>
      <c r="D7" t="inlineStr">
        <is>
          <t>Low-moisture molds may still matter if amplification or susceptible occupants are present.</t>
        </is>
      </c>
    </row>
    <row r="8">
      <c r="A8" s="26" t="inlineStr">
        <is>
          <t>Known mycotoxin producers</t>
        </is>
      </c>
      <c r="B8" s="27">
        <f>COUNTIF('Mold Species Database'!P4:P1000,"Yes")</f>
        <v/>
      </c>
      <c r="D8" t="inlineStr">
        <is>
          <t>Toxin potential increases priority, but risk communication should stay careful and non-medical.</t>
        </is>
      </c>
    </row>
    <row r="9">
      <c r="A9" s="26" t="inlineStr">
        <is>
          <t>Warning marker species</t>
        </is>
      </c>
      <c r="B9" s="27">
        <f>COUNTIF('Mold Species Database'!X4:X1000,"Yes")</f>
        <v/>
      </c>
      <c r="D9" t="inlineStr">
        <is>
          <t>Marker molds can warn of conditions that support Stachybotrys-like growth.</t>
        </is>
      </c>
    </row>
    <row r="10">
      <c r="A10" s="26" t="inlineStr">
        <is>
          <t>Visual AI labels</t>
        </is>
      </c>
      <c r="B10" s="27">
        <f>COUNTA('Image Label Taxonomy'!A5:A1000)</f>
        <v/>
      </c>
      <c r="D10" t="inlineStr">
        <is>
          <t>Image taxonomy powers computer vision labeling and QA.</t>
        </is>
      </c>
    </row>
    <row r="11">
      <c r="A11" s="26" t="inlineStr">
        <is>
          <t>Early detection signs</t>
        </is>
      </c>
      <c r="B11" s="27">
        <f>COUNTA('AI Early Detection Signs'!A2:A1000)</f>
        <v/>
      </c>
      <c r="D11" t="inlineStr">
        <is>
          <t>Early signs help AI catch issues before visible colonies dominate.</t>
        </is>
      </c>
    </row>
    <row r="12">
      <c r="A12" s="26" t="inlineStr">
        <is>
          <t>Cleaning agent entries</t>
        </is>
      </c>
      <c r="B12" s="27">
        <f>COUNTA('Cleaning Agents'!A2:A1000)</f>
        <v/>
      </c>
      <c r="D12" t="inlineStr">
        <is>
          <t>Cleaning guidance should never replace removal of wet, mold-damaged porous materials.</t>
        </is>
      </c>
    </row>
    <row r="13">
      <c r="A13" s="26" t="inlineStr">
        <is>
          <t>Lab rule rows</t>
        </is>
      </c>
      <c r="B13" s="27">
        <f>COUNTA('Lab Interpretation Rules'!A5:A1000)</f>
        <v/>
      </c>
      <c r="D13" t="inlineStr">
        <is>
          <t>Lab interpretation rules anchor the app to real-world mold reporting language.</t>
        </is>
      </c>
    </row>
    <row r="14">
      <c r="A14" s="28" t="inlineStr">
        <is>
          <t>Real lab data rows</t>
        </is>
      </c>
      <c r="B14" s="29">
        <f>COUNTA('Real Lab Data Training'!A5:A1000)</f>
        <v/>
      </c>
      <c r="D14" t="inlineStr">
        <is>
          <t>Real reports improve calibration and reduce overconfident AI claims.</t>
        </is>
      </c>
    </row>
    <row r="15">
      <c r="A15" s="26" t="inlineStr">
        <is>
          <t>System control scenarios</t>
        </is>
      </c>
      <c r="B15" s="27">
        <f>COUNTA('Control Center'!A5:A1000)</f>
        <v/>
      </c>
      <c r="D15" t="inlineStr">
        <is>
          <t>Control scenarios allow quick MVP testing.</t>
        </is>
      </c>
    </row>
    <row r="16">
      <c r="A16" t="inlineStr">
        <is>
          <t>Allergenic / Opportunistic</t>
        </is>
      </c>
      <c r="B16" t="n">
        <v>10</v>
      </c>
    </row>
    <row r="17">
      <c r="A17" t="inlineStr">
        <is>
          <t>Common indoor</t>
        </is>
      </c>
      <c r="B17">
        <f>COUNTIF('Mold Species Database'!C4:C122,A17)</f>
        <v/>
      </c>
    </row>
    <row r="18">
      <c r="A18" t="inlineStr">
        <is>
          <t>Dry environment mold</t>
        </is>
      </c>
      <c r="B18">
        <f>COUNTIF('Mold Species Database'!C4:C122,A18)</f>
        <v/>
      </c>
    </row>
    <row r="19">
      <c r="A19" t="inlineStr">
        <is>
          <t>Fast-growing indoor</t>
        </is>
      </c>
      <c r="B19">
        <f>COUNTIF('Mold Species Database'!C4:C122,A19)</f>
        <v/>
      </c>
    </row>
    <row r="20">
      <c r="A20" t="inlineStr">
        <is>
          <t>Pathogenic / Water damage mold</t>
        </is>
      </c>
      <c r="B20">
        <f>COUNTIF('Mold Species Database'!C4:C122,A20)</f>
        <v/>
      </c>
    </row>
    <row r="21">
      <c r="A21" t="inlineStr">
        <is>
          <t>Toxigenic</t>
        </is>
      </c>
      <c r="B21">
        <f>COUNTIF('Mold Species Database'!C4:C122,A21)</f>
        <v/>
      </c>
    </row>
    <row r="22">
      <c r="A22" t="inlineStr">
        <is>
          <t>Water damage mold</t>
        </is>
      </c>
      <c r="B22">
        <f>COUNTIF('Mold Species Database'!C4:C122,A22)</f>
        <v/>
      </c>
    </row>
    <row r="23">
      <c r="B23">
        <f>COUNTIF('Mold Species Database'!C4:C122,A23)</f>
        <v/>
      </c>
    </row>
    <row r="24">
      <c r="A24" s="10" t="inlineStr">
        <is>
          <t>New in v5</t>
        </is>
      </c>
      <c r="B24" t="inlineStr">
        <is>
          <t>Moisture-source classification, room-by-room inspection logic, remediation decision framework, and image-label taxonomy.</t>
        </is>
      </c>
    </row>
    <row r="25">
      <c r="A25" t="inlineStr">
        <is>
          <t>Primary benefit</t>
        </is>
      </c>
      <c r="B25" t="inlineStr">
        <is>
          <t>Improves AI triage, makes outputs more explainable, and creates training labels your developer can use for computer vision and workflow logic.</t>
        </is>
      </c>
    </row>
    <row r="26">
      <c r="A26" t="inlineStr">
        <is>
          <t>Best use</t>
        </is>
      </c>
      <c r="B26" t="inlineStr">
        <is>
          <t>Pair with v4 decision tree and scoring model so the app can identify likely source, room context, recommended next step, and appropriate wording.</t>
        </is>
      </c>
    </row>
    <row r="29">
      <c r="A29" t="inlineStr">
        <is>
          <t>Integrated uploaded files</t>
        </is>
      </c>
      <c r="B29" s="4" t="inlineStr">
        <is>
          <t>SanAir analysis report example + Lab Information interpretation guide</t>
        </is>
      </c>
    </row>
    <row r="30">
      <c r="A30" t="inlineStr">
        <is>
          <t>What was added</t>
        </is>
      </c>
      <c r="B30" s="4" t="inlineStr">
        <is>
          <t>Lab Interpretation Rules sheet, Lab Sample Examples sheet, direct-ID scale, background-density logic, and training-safe sample examples.</t>
        </is>
      </c>
    </row>
  </sheetData>
  <mergeCells count="3">
    <mergeCell ref="A1:D1"/>
    <mergeCell ref="A1:J1"/>
    <mergeCell ref="A2:J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4" customWidth="1" min="4" max="4"/>
    <col width="24" customWidth="1" min="5" max="5"/>
  </cols>
  <sheetData>
    <row r="1" ht="22" customHeight="1">
      <c r="A1" s="25" t="inlineStr">
        <is>
          <t>sign_name</t>
        </is>
      </c>
    </row>
    <row r="2" ht="22" customHeight="1">
      <c r="A2" s="30" t="inlineStr">
        <is>
          <t>Micro-speckling</t>
        </is>
      </c>
    </row>
    <row r="3">
      <c r="A3" s="4" t="inlineStr">
        <is>
          <t>Moisture halo</t>
        </is>
      </c>
      <c r="B3" s="4" t="inlineStr">
        <is>
          <t>circular or irregular stain edge around leak path</t>
        </is>
      </c>
      <c r="C3" s="4" t="inlineStr">
        <is>
          <t>drywall, plaster</t>
        </is>
      </c>
      <c r="D3" s="4" t="inlineStr">
        <is>
          <t>higher if color gradient present</t>
        </is>
      </c>
      <c r="E3" s="4" t="inlineStr">
        <is>
          <t>check leak/condensation</t>
        </is>
      </c>
    </row>
    <row r="4" ht="22" customHeight="1">
      <c r="A4" s="4" t="inlineStr">
        <is>
          <t>Glossy sheen</t>
        </is>
      </c>
      <c r="B4" s="4" t="inlineStr">
        <is>
          <t>localized wet reflective patch</t>
        </is>
      </c>
      <c r="C4" s="4" t="inlineStr">
        <is>
          <t>paint, wood, caulk</t>
        </is>
      </c>
      <c r="D4" s="4" t="inlineStr">
        <is>
          <t>higher with repeated humidity</t>
        </is>
      </c>
      <c r="E4" s="4" t="inlineStr">
        <is>
          <t>reduce RH and inspect source</t>
        </is>
      </c>
    </row>
    <row r="5">
      <c r="A5" s="4" t="inlineStr">
        <is>
          <t>Texture lift</t>
        </is>
      </c>
      <c r="B5" s="4" t="inlineStr">
        <is>
          <t>raised or fuzzy surface compared with adjacent area</t>
        </is>
      </c>
      <c r="C5" s="4" t="inlineStr">
        <is>
          <t>wallpaper, drywall</t>
        </is>
      </c>
      <c r="D5" s="4" t="inlineStr">
        <is>
          <t>higher if edge is irregular</t>
        </is>
      </c>
      <c r="E5" s="4" t="inlineStr">
        <is>
          <t>capture macro image and inspect</t>
        </is>
      </c>
    </row>
    <row r="6">
      <c r="A6" s="4" t="inlineStr">
        <is>
          <t>Concentric rings</t>
        </is>
      </c>
      <c r="B6" s="4" t="inlineStr">
        <is>
          <t>ringed colony structure</t>
        </is>
      </c>
      <c r="C6" s="4" t="inlineStr">
        <is>
          <t>window trim, caulk</t>
        </is>
      </c>
      <c r="D6" s="4" t="inlineStr">
        <is>
          <t>suggestive for Alternaria-like growth</t>
        </is>
      </c>
      <c r="E6" s="4" t="inlineStr">
        <is>
          <t>clean/inspect promptly</t>
        </is>
      </c>
    </row>
    <row r="7">
      <c r="A7" s="4" t="inlineStr">
        <is>
          <t>Velvet patch</t>
        </is>
      </c>
      <c r="B7" s="4" t="inlineStr">
        <is>
          <t>matte velvet-like patch</t>
        </is>
      </c>
      <c r="C7" s="4" t="inlineStr">
        <is>
          <t>painted surfaces, wood</t>
        </is>
      </c>
      <c r="D7" s="4" t="inlineStr">
        <is>
          <t>common in Cladosporium/Alternaria</t>
        </is>
      </c>
      <c r="E7" s="4" t="inlineStr">
        <is>
          <t>confirm moisture and sample if needed</t>
        </is>
      </c>
    </row>
    <row r="8">
      <c r="A8" s="4" t="inlineStr">
        <is>
          <t>Pink-black streaking</t>
        </is>
      </c>
      <c r="B8" s="4" t="inlineStr">
        <is>
          <t>pink or black streaks in condensation zones</t>
        </is>
      </c>
      <c r="C8" s="4" t="inlineStr">
        <is>
          <t>window tracks, caulk</t>
        </is>
      </c>
      <c r="D8" s="4" t="inlineStr">
        <is>
          <t>common for Aureobasidium-like growth</t>
        </is>
      </c>
      <c r="E8" s="4" t="inlineStr">
        <is>
          <t>clean and control condensation</t>
        </is>
      </c>
    </row>
    <row r="9">
      <c r="A9" s="4" t="inlineStr">
        <is>
          <t>Green powder bloom</t>
        </is>
      </c>
      <c r="B9" s="4" t="inlineStr">
        <is>
          <t>fine green dust-like bloom</t>
        </is>
      </c>
      <c r="C9" s="4" t="inlineStr">
        <is>
          <t>HVAC dust, insulation</t>
        </is>
      </c>
      <c r="D9" s="4" t="inlineStr">
        <is>
          <t>common in Aspergillus/Penicillium patterns</t>
        </is>
      </c>
      <c r="E9" s="4" t="inlineStr">
        <is>
          <t>use PPE and HEPA clean</t>
        </is>
      </c>
    </row>
    <row r="10">
      <c r="A10" s="4" t="inlineStr">
        <is>
          <t>Cottony white growth</t>
        </is>
      </c>
      <c r="B10" s="4" t="inlineStr">
        <is>
          <t>soft tufted early growth</t>
        </is>
      </c>
      <c r="C10" s="4" t="inlineStr">
        <is>
          <t>cellulose materials</t>
        </is>
      </c>
      <c r="D10" s="4" t="inlineStr">
        <is>
          <t>higher concern on wet drywall</t>
        </is>
      </c>
      <c r="E10" s="4" t="inlineStr">
        <is>
          <t>remove wet porous material</t>
        </is>
      </c>
    </row>
    <row r="11">
      <c r="A11" s="4" t="inlineStr">
        <is>
          <t>Dark wet-zone patch</t>
        </is>
      </c>
      <c r="B11" s="4" t="inlineStr">
        <is>
          <t>dark patch confined to chronically wet area</t>
        </is>
      </c>
      <c r="C11" s="4" t="inlineStr">
        <is>
          <t>subfloors, walls</t>
        </is>
      </c>
      <c r="D11" s="4" t="inlineStr">
        <is>
          <t>higher concern if slimy</t>
        </is>
      </c>
      <c r="E11" s="4" t="inlineStr">
        <is>
          <t>isolate and assess</t>
        </is>
      </c>
    </row>
    <row r="12">
      <c r="A12" s="4" t="inlineStr">
        <is>
          <t>Pepper vent spotting</t>
        </is>
      </c>
      <c r="B12" s="4" t="inlineStr">
        <is>
          <t>speckling around registers</t>
        </is>
      </c>
      <c r="C12" s="4" t="inlineStr">
        <is>
          <t>HVAC diffusers, ceiling</t>
        </is>
      </c>
      <c r="D12" s="4" t="inlineStr">
        <is>
          <t>higher if repeated after cleaning</t>
        </is>
      </c>
      <c r="E12" s="4" t="inlineStr">
        <is>
          <t>inspect ducts and RH</t>
        </is>
      </c>
    </row>
    <row r="13">
      <c r="A13" s="4" t="inlineStr">
        <is>
          <t>Bubbling paint</t>
        </is>
      </c>
      <c r="B13" s="4" t="inlineStr">
        <is>
          <t>surface deformation with discoloration</t>
        </is>
      </c>
      <c r="C13" s="4" t="inlineStr">
        <is>
          <t>painted drywall</t>
        </is>
      </c>
      <c r="D13" s="4" t="inlineStr">
        <is>
          <t>not mold alone but strong moisture precursor</t>
        </is>
      </c>
      <c r="E13" s="4" t="inlineStr">
        <is>
          <t>open wall if persistent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2" customWidth="1" min="4" max="4"/>
    <col width="28" customWidth="1" min="5" max="5"/>
  </cols>
  <sheetData>
    <row r="1" ht="22" customHeight="1">
      <c r="A1" s="25" t="inlineStr">
        <is>
          <t>agent</t>
        </is>
      </c>
    </row>
    <row r="2" ht="22" customHeight="1">
      <c r="A2" s="30" t="inlineStr">
        <is>
          <t>Dawn dish soap / detergent</t>
        </is>
      </c>
    </row>
    <row r="3">
      <c r="A3" s="4" t="inlineStr">
        <is>
          <t>Hydrogen peroxide</t>
        </is>
      </c>
      <c r="B3" s="4" t="inlineStr">
        <is>
          <t>light staining and surface disinfection support</t>
        </is>
      </c>
      <c r="C3" s="4" t="inlineStr">
        <is>
          <t>tile, grout, some hard surfaces</t>
        </is>
      </c>
      <c r="D3" s="4" t="inlineStr">
        <is>
          <t>test fabrics and finished wood first</t>
        </is>
      </c>
      <c r="E3" s="4" t="inlineStr">
        <is>
          <t>can lighten staining</t>
        </is>
      </c>
    </row>
    <row r="4" ht="22" customHeight="1">
      <c r="A4" s="4" t="inlineStr">
        <is>
          <t>Vinegar</t>
        </is>
      </c>
      <c r="B4" s="4" t="inlineStr">
        <is>
          <t>mild cleaning where appropriate</t>
        </is>
      </c>
      <c r="C4" s="4" t="inlineStr">
        <is>
          <t>tile, glass, some non-stone surfaces</t>
        </is>
      </c>
      <c r="D4" s="4" t="inlineStr">
        <is>
          <t>avoid natural stone and incompatible finishes</t>
        </is>
      </c>
      <c r="E4" s="4" t="inlineStr">
        <is>
          <t>household option, not a substitute for drying</t>
        </is>
      </c>
    </row>
    <row r="5">
      <c r="A5" s="4" t="inlineStr">
        <is>
          <t>HEPA vacuum</t>
        </is>
      </c>
      <c r="B5" s="4" t="inlineStr">
        <is>
          <t>spore capture during cleanup</t>
        </is>
      </c>
      <c r="C5" s="4" t="inlineStr">
        <is>
          <t>dry surfaces and surrounding dust</t>
        </is>
      </c>
      <c r="D5" s="4" t="inlineStr">
        <is>
          <t>do not use standard vacuum</t>
        </is>
      </c>
      <c r="E5" s="4" t="inlineStr">
        <is>
          <t>best paired with damp wipe</t>
        </is>
      </c>
    </row>
    <row r="6">
      <c r="A6" s="4" t="inlineStr">
        <is>
          <t>Microfiber damp wipe</t>
        </is>
      </c>
      <c r="B6" s="4" t="inlineStr">
        <is>
          <t>final wipe after HEPA removal</t>
        </is>
      </c>
      <c r="C6" s="4" t="inlineStr">
        <is>
          <t>non-porous surfaces</t>
        </is>
      </c>
      <c r="D6" s="4" t="inlineStr">
        <is>
          <t>avoid oversaturating materials</t>
        </is>
      </c>
      <c r="E6" s="4" t="inlineStr">
        <is>
          <t>change cloths frequently</t>
        </is>
      </c>
    </row>
    <row r="7">
      <c r="A7" s="4" t="inlineStr">
        <is>
          <t>Concrobium or similar</t>
        </is>
      </c>
      <c r="B7" s="4" t="inlineStr">
        <is>
          <t>post-cleaning control on some surfaces</t>
        </is>
      </c>
      <c r="C7" s="4" t="inlineStr">
        <is>
          <t>framing, sheathing, hard surfaces</t>
        </is>
      </c>
      <c r="D7" s="4" t="inlineStr">
        <is>
          <t>follow label; not a shortcut for demolition</t>
        </is>
      </c>
      <c r="E7" s="4" t="inlineStr">
        <is>
          <t>commonly used in remediation workflows</t>
        </is>
      </c>
    </row>
    <row r="8">
      <c r="A8" s="4" t="inlineStr">
        <is>
          <t>Botanical antimicrobial</t>
        </is>
      </c>
      <c r="B8" s="4" t="inlineStr">
        <is>
          <t>supplemental cleaning</t>
        </is>
      </c>
      <c r="C8" s="4" t="inlineStr">
        <is>
          <t>hard surfaces</t>
        </is>
      </c>
      <c r="D8" s="4" t="inlineStr">
        <is>
          <t>not a replacement for moisture control</t>
        </is>
      </c>
      <c r="E8" s="4" t="inlineStr">
        <is>
          <t>follow label and ventilation guidance</t>
        </is>
      </c>
    </row>
    <row r="9">
      <c r="A9" s="4" t="inlineStr">
        <is>
          <t>Enzyme cleaner</t>
        </is>
      </c>
      <c r="B9" s="4" t="inlineStr">
        <is>
          <t>organic residue removal</t>
        </is>
      </c>
      <c r="C9" s="4" t="inlineStr">
        <is>
          <t>some hard surfaces</t>
        </is>
      </c>
      <c r="D9" s="4" t="inlineStr">
        <is>
          <t>avoid if incompatible with finish</t>
        </is>
      </c>
      <c r="E9" s="4" t="inlineStr">
        <is>
          <t>use only as directed</t>
        </is>
      </c>
    </row>
    <row r="10">
      <c r="A10" s="4" t="inlineStr">
        <is>
          <t>Discard and replace</t>
        </is>
      </c>
      <c r="B10" s="4" t="inlineStr">
        <is>
          <t>saturated porous materials</t>
        </is>
      </c>
      <c r="C10" s="4" t="inlineStr">
        <is>
          <t>drywall, insulation, carpet pad</t>
        </is>
      </c>
      <c r="D10" s="4" t="inlineStr">
        <is>
          <t>not applicable</t>
        </is>
      </c>
      <c r="E10" s="4" t="inlineStr">
        <is>
          <t>best practice for persistent colonization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 ht="22" customHeight="1">
      <c r="A1" s="25" t="inlineStr">
        <is>
          <t>field_name</t>
        </is>
      </c>
    </row>
    <row r="2" ht="22" customHeight="1">
      <c r="A2" s="30" t="inlineStr">
        <is>
          <t>species_name</t>
        </is>
      </c>
    </row>
    <row r="3">
      <c r="A3" s="4" t="inlineStr">
        <is>
          <t>genus</t>
        </is>
      </c>
      <c r="B3" s="4" t="inlineStr">
        <is>
          <t>Genus portion of the scientific name</t>
        </is>
      </c>
      <c r="C3" s="4" t="inlineStr">
        <is>
          <t>Aspergillus</t>
        </is>
      </c>
    </row>
    <row r="4" ht="22" customHeight="1">
      <c r="A4" s="4" t="inlineStr">
        <is>
          <t>common_category</t>
        </is>
      </c>
      <c r="B4" s="4" t="inlineStr">
        <is>
          <t>Broad indoor relevance grouping</t>
        </is>
      </c>
      <c r="C4" s="4" t="inlineStr">
        <is>
          <t>Water damage mold</t>
        </is>
      </c>
    </row>
    <row r="5">
      <c r="A5" s="4" t="inlineStr">
        <is>
          <t>primary_color</t>
        </is>
      </c>
      <c r="B5" s="4" t="inlineStr">
        <is>
          <t>Typical dominant colony color observed visually</t>
        </is>
      </c>
      <c r="C5" s="4" t="inlineStr">
        <is>
          <t>dark green</t>
        </is>
      </c>
    </row>
    <row r="6">
      <c r="A6" s="4" t="inlineStr">
        <is>
          <t>secondary_color</t>
        </is>
      </c>
      <c r="B6" s="4" t="inlineStr">
        <is>
          <t>Secondary or maturing color</t>
        </is>
      </c>
      <c r="C6" s="4" t="inlineStr">
        <is>
          <t>black</t>
        </is>
      </c>
    </row>
    <row r="7">
      <c r="A7" s="4" t="inlineStr">
        <is>
          <t>texture</t>
        </is>
      </c>
      <c r="B7" s="4" t="inlineStr">
        <is>
          <t>Surface look such as powdery, velvety, slimy, cottony</t>
        </is>
      </c>
      <c r="C7" s="4" t="inlineStr">
        <is>
          <t>powdery</t>
        </is>
      </c>
    </row>
    <row r="8">
      <c r="A8" s="4" t="inlineStr">
        <is>
          <t>growth_pattern</t>
        </is>
      </c>
      <c r="B8" s="4" t="inlineStr">
        <is>
          <t>Typical macro colony form or spread pattern</t>
        </is>
      </c>
      <c r="C8" s="4" t="inlineStr">
        <is>
          <t>patchy</t>
        </is>
      </c>
    </row>
    <row r="9">
      <c r="A9" s="4" t="inlineStr">
        <is>
          <t>common_materials</t>
        </is>
      </c>
      <c r="B9" s="4" t="inlineStr">
        <is>
          <t>Materials where growth is commonly observed</t>
        </is>
      </c>
      <c r="C9" s="4" t="inlineStr">
        <is>
          <t>drywall, wallpaper, cellulose</t>
        </is>
      </c>
    </row>
    <row r="10">
      <c r="A10" s="4" t="inlineStr">
        <is>
          <t>common_locations</t>
        </is>
      </c>
      <c r="B10" s="4" t="inlineStr">
        <is>
          <t>Typical indoor locations</t>
        </is>
      </c>
      <c r="C10" s="4" t="inlineStr">
        <is>
          <t>water damaged walls</t>
        </is>
      </c>
    </row>
    <row r="11">
      <c r="A11" s="4" t="inlineStr">
        <is>
          <t>moisture_requirement</t>
        </is>
      </c>
      <c r="B11" s="4" t="inlineStr">
        <is>
          <t>Low, low-to-moderate, moderate, moderate-to-high, or high moisture need</t>
        </is>
      </c>
      <c r="C11" s="4" t="inlineStr">
        <is>
          <t>high</t>
        </is>
      </c>
    </row>
    <row r="12">
      <c r="A12" s="4" t="inlineStr">
        <is>
          <t>humidity_threshold_percent</t>
        </is>
      </c>
      <c r="B12" s="4" t="inlineStr">
        <is>
          <t>Rule-of-thumb RH threshold</t>
        </is>
      </c>
      <c r="C12" s="4" t="inlineStr">
        <is>
          <t>70+</t>
        </is>
      </c>
    </row>
    <row r="13">
      <c r="A13" s="4" t="inlineStr">
        <is>
          <t>temperature_range_c</t>
        </is>
      </c>
      <c r="B13" s="4" t="inlineStr">
        <is>
          <t>Typical growth temperature range in Celsius</t>
        </is>
      </c>
      <c r="C13" s="4" t="inlineStr">
        <is>
          <t>20-30</t>
        </is>
      </c>
    </row>
    <row r="14">
      <c r="A14" s="4" t="inlineStr">
        <is>
          <t>porous_surface_growth</t>
        </is>
      </c>
      <c r="B14" s="4" t="inlineStr">
        <is>
          <t>Whether colonization is common on porous materials</t>
        </is>
      </c>
      <c r="C14" s="4" t="inlineStr">
        <is>
          <t>yes</t>
        </is>
      </c>
    </row>
    <row r="15">
      <c r="A15" s="4" t="inlineStr">
        <is>
          <t>non_porous_surface_growth</t>
        </is>
      </c>
      <c r="B15" s="4" t="inlineStr">
        <is>
          <t>Whether growth can occur on dirty hard surfaces</t>
        </is>
      </c>
      <c r="C15" s="4" t="inlineStr">
        <is>
          <t>possible via dust</t>
        </is>
      </c>
    </row>
    <row r="16">
      <c r="A16" s="4" t="inlineStr">
        <is>
          <t>health_risk_category</t>
        </is>
      </c>
      <c r="B16" s="4" t="inlineStr">
        <is>
          <t>Practical indoor risk flag, not medical advice</t>
        </is>
      </c>
      <c r="C16" s="4" t="inlineStr">
        <is>
          <t>moderate</t>
        </is>
      </c>
    </row>
    <row r="17">
      <c r="A17" s="4" t="inlineStr">
        <is>
          <t>known_mycotoxin_producer</t>
        </is>
      </c>
      <c r="B17" s="4" t="inlineStr">
        <is>
          <t>Whether toxin production is reported for some strains</t>
        </is>
      </c>
      <c r="C17" s="4" t="inlineStr">
        <is>
          <t>some strains</t>
        </is>
      </c>
    </row>
    <row r="18">
      <c r="A18" s="4" t="inlineStr">
        <is>
          <t>remediation_guidance</t>
        </is>
      </c>
      <c r="B18" s="4" t="inlineStr">
        <is>
          <t>Simplified cleanup/removal guidance</t>
        </is>
      </c>
      <c r="C18" s="4" t="inlineStr">
        <is>
          <t>remove porous materials; correct moisture</t>
        </is>
      </c>
    </row>
    <row r="19">
      <c r="A19" s="4" t="inlineStr">
        <is>
          <t>ai_visual_tags</t>
        </is>
      </c>
      <c r="B19" s="4" t="inlineStr">
        <is>
          <t>Training tags for computer vision labeling</t>
        </is>
      </c>
      <c r="C19" s="4" t="inlineStr">
        <is>
          <t>black_colony, slimy_texture</t>
        </is>
      </c>
    </row>
    <row r="20">
      <c r="A20" s="4" t="inlineStr">
        <is>
          <t>background_spore_presence</t>
        </is>
      </c>
      <c r="B20" s="4" t="inlineStr">
        <is>
          <t>Conceptual rule: a normal indoor environment still contains some mold spores.</t>
        </is>
      </c>
      <c r="C20" s="4" t="inlineStr">
        <is>
          <t>normal background spores</t>
        </is>
      </c>
    </row>
    <row r="21">
      <c r="A21" s="4" t="inlineStr">
        <is>
          <t>elevated_indoor_spore_level</t>
        </is>
      </c>
      <c r="B21" s="4" t="inlineStr">
        <is>
          <t>Indoor spore level meaningfully above comparison/background levels.</t>
        </is>
      </c>
      <c r="C21" s="4" t="inlineStr">
        <is>
          <t>indoor amplification</t>
        </is>
      </c>
    </row>
    <row r="22">
      <c r="A22" s="4" t="inlineStr">
        <is>
          <t>active_colony_growth</t>
        </is>
      </c>
      <c r="B22" s="4" t="inlineStr">
        <is>
          <t>Visible mold growth on a substrate, especially with moisture context.</t>
        </is>
      </c>
      <c r="C22" s="4" t="inlineStr">
        <is>
          <t>patchy colony on wet drywall</t>
        </is>
      </c>
    </row>
    <row r="23">
      <c r="A23" s="4" t="inlineStr">
        <is>
          <t>porous_vs_non_porous_logic</t>
        </is>
      </c>
      <c r="B23" s="4" t="inlineStr">
        <is>
          <t>Guidance that mold commonly colonizes porous materials; on hard surfaces it often grows on residue.</t>
        </is>
      </c>
      <c r="C23" s="4" t="inlineStr">
        <is>
          <t>tile with soap film</t>
        </is>
      </c>
    </row>
    <row r="25">
      <c r="A25" s="10" t="inlineStr">
        <is>
          <t>New v4 sheets</t>
        </is>
      </c>
    </row>
    <row r="26">
      <c r="A26" s="4" t="inlineStr">
        <is>
          <t>AI Decision Tree</t>
        </is>
      </c>
      <c r="B26" s="4" t="inlineStr">
        <is>
          <t>Decision path guiding app outputs from screening through escalation</t>
        </is>
      </c>
      <c r="C26" s="4" t="inlineStr">
        <is>
          <t>Moisture -&gt; colony texture -&gt; substrate -&gt; output class</t>
        </is>
      </c>
    </row>
    <row r="27">
      <c r="A27" s="4" t="inlineStr">
        <is>
          <t>Risk Scoring Model</t>
        </is>
      </c>
      <c r="B27" s="4" t="inlineStr">
        <is>
          <t>Weighted scoring framework that converts visual/context clues into a normalized risk band</t>
        </is>
      </c>
      <c r="C27" s="4" t="inlineStr">
        <is>
          <t>Visible moisture score 4, porous substrate score 5</t>
        </is>
      </c>
    </row>
    <row r="28">
      <c r="A28" s="4" t="inlineStr">
        <is>
          <t>Inspection Language</t>
        </is>
      </c>
      <c r="B28" s="4" t="inlineStr">
        <is>
          <t>Audience-specific wording library for homeowners vs professionals</t>
        </is>
      </c>
      <c r="C28" s="4" t="inlineStr">
        <is>
          <t>Homeowner: cautious education; Professional: report-ready framing</t>
        </is>
      </c>
    </row>
    <row r="30">
      <c r="A30" s="10" t="inlineStr">
        <is>
          <t>New v5 sheets</t>
        </is>
      </c>
    </row>
    <row r="31">
      <c r="A31" s="4" t="inlineStr">
        <is>
          <t>Moisture Source Classification</t>
        </is>
      </c>
      <c r="B31" s="4" t="inlineStr">
        <is>
          <t>Reference table linking visible patterns to likely moisture causes and follow-up steps</t>
        </is>
      </c>
      <c r="C31" s="4" t="inlineStr">
        <is>
          <t>Use to infer plumbing vs roof vs HVAC vs condensation vs crawlspace</t>
        </is>
      </c>
    </row>
    <row r="32">
      <c r="A32" s="4" t="inlineStr">
        <is>
          <t>Room Inspection Logic</t>
        </is>
      </c>
      <c r="B32" s="4" t="inlineStr">
        <is>
          <t>Room-specific inspection priorities, false positives, and next-step guidance</t>
        </is>
      </c>
      <c r="C32" s="4" t="inlineStr">
        <is>
          <t>Bathroom spotting and attic staining require different logic</t>
        </is>
      </c>
    </row>
    <row r="33">
      <c r="A33" s="4" t="inlineStr">
        <is>
          <t>Remediation Framework</t>
        </is>
      </c>
      <c r="B33" s="4" t="inlineStr">
        <is>
          <t>Monitor/clean/inspect/escalate pathways based on severity, substrate, and recurrence</t>
        </is>
      </c>
      <c r="C33" s="4" t="inlineStr">
        <is>
          <t>Supports app workflow and messaging</t>
        </is>
      </c>
    </row>
    <row r="34">
      <c r="A34" s="4" t="inlineStr">
        <is>
          <t>Image Label Taxonomy</t>
        </is>
      </c>
      <c r="B34" s="4" t="inlineStr">
        <is>
          <t>Controlled labels for training image annotations and downstream AI outputs</t>
        </is>
      </c>
      <c r="C34" s="4" t="inlineStr">
        <is>
          <t>Creates consistent annotation fields for computer vision</t>
        </is>
      </c>
    </row>
    <row r="35">
      <c r="A35" s="4" t="inlineStr">
        <is>
          <t>Training Annotation Template</t>
        </is>
      </c>
      <c r="B35" s="4" t="inlineStr">
        <is>
          <t>Example row structure with helper formulas for data-labeling workflows</t>
        </is>
      </c>
      <c r="C35" s="4" t="inlineStr">
        <is>
          <t>Can be handed to annotators or developers as a starter schema</t>
        </is>
      </c>
    </row>
    <row r="36">
      <c r="A36" s="4" t="inlineStr">
        <is>
          <t>Lab Interpretation Rules</t>
        </is>
      </c>
      <c r="B36" s="4" t="inlineStr">
        <is>
          <t>Condenses lab-report logic for air cassettes, background density, direct ID interpretation, and AI-safe cautions</t>
        </is>
      </c>
      <c r="C36" s="4" t="inlineStr">
        <is>
          <t>Supports scoring and user messaging</t>
        </is>
      </c>
    </row>
    <row r="37">
      <c r="A37" s="4" t="inlineStr">
        <is>
          <t>Lab Sample Examples</t>
        </is>
      </c>
      <c r="B37" s="4" t="inlineStr">
        <is>
          <t>Example air and direct-ID results structured as rows for training or QA</t>
        </is>
      </c>
      <c r="C37" s="4" t="inlineStr">
        <is>
          <t>Exterior baseline vs interior comparison and direct-ID abundance examples</t>
        </is>
      </c>
    </row>
    <row r="39">
      <c r="A39" t="inlineStr">
        <is>
          <t>scenario_id</t>
        </is>
      </c>
      <c r="B39" t="inlineStr">
        <is>
          <t>Unique scenario key used to test scoring engine and output logic.</t>
        </is>
      </c>
      <c r="C39" t="inlineStr">
        <is>
          <t>SCN-001</t>
        </is>
      </c>
    </row>
    <row r="40">
      <c r="A40" t="inlineStr">
        <is>
          <t>indoor_outdoor_ratio</t>
        </is>
      </c>
      <c r="B40" t="inlineStr">
        <is>
          <t>Indoor spores/m3 divided by outdoor spores/m3 for the same or nearest comparable group.</t>
        </is>
      </c>
      <c r="C40" t="inlineStr">
        <is>
          <t>1.9x</t>
        </is>
      </c>
    </row>
    <row r="41">
      <c r="A41" t="inlineStr">
        <is>
          <t>risk_band</t>
        </is>
      </c>
      <c r="B41" t="inlineStr">
        <is>
          <t>Human-readable bucket produced by scoring engine.</t>
        </is>
      </c>
      <c r="C41" t="inlineStr">
        <is>
          <t>Elevated</t>
        </is>
      </c>
    </row>
    <row r="42">
      <c r="A42" t="inlineStr">
        <is>
          <t>recommended_action</t>
        </is>
      </c>
      <c r="B42" t="inlineStr">
        <is>
          <t>Suggested next step based on score and rule checks.</t>
        </is>
      </c>
      <c r="C42" t="inlineStr">
        <is>
          <t>Professional inspection</t>
        </is>
      </c>
    </row>
    <row r="43">
      <c r="A43" t="inlineStr">
        <is>
          <t>visual_group</t>
        </is>
      </c>
      <c r="B43" t="inlineStr">
        <is>
          <t>Grouped AI-safe label when species-level precision is not justified visually.</t>
        </is>
      </c>
      <c r="C43" t="inlineStr">
        <is>
          <t>Aspergillus/Penicillium</t>
        </is>
      </c>
    </row>
    <row r="44">
      <c r="A44" t="inlineStr">
        <is>
          <t>water_damage_indicator</t>
        </is>
      </c>
      <c r="B44" t="inlineStr">
        <is>
          <t>Relative value describing how strongly a mold suggests chronic moisture or wet cellulose.</t>
        </is>
      </c>
      <c r="C44" t="inlineStr">
        <is>
          <t>High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40" customWidth="1" min="4" max="4"/>
  </cols>
  <sheetData>
    <row r="1" ht="22" customHeight="1">
      <c r="A1" s="1" t="inlineStr">
        <is>
          <t>Core Mold Logic for Home Health AI / Inspector Gnome</t>
        </is>
      </c>
    </row>
    <row r="2" ht="22" customHeight="1">
      <c r="A2" s="2" t="inlineStr">
        <is>
          <t>Important principle: all homes have some mold spores. Concern increases when indoor spore levels are elevated versus normal background and/or when active colonies are growing.</t>
        </is>
      </c>
    </row>
    <row r="4" ht="22" customHeight="1">
      <c r="A4" s="7" t="inlineStr">
        <is>
          <t>rule_id</t>
        </is>
      </c>
      <c r="B4" s="7" t="inlineStr">
        <is>
          <t>rule_name</t>
        </is>
      </c>
      <c r="C4" s="7" t="inlineStr">
        <is>
          <t>logic_statement</t>
        </is>
      </c>
      <c r="D4" s="7" t="inlineStr">
        <is>
          <t>why_it_matters</t>
        </is>
      </c>
    </row>
    <row r="5">
      <c r="A5" s="4" t="inlineStr">
        <is>
          <t>ML-01</t>
        </is>
      </c>
      <c r="B5" s="4" t="inlineStr">
        <is>
          <t>Background spores are normal</t>
        </is>
      </c>
      <c r="C5" s="4" t="inlineStr">
        <is>
          <t>All homes and buildings contain background mold spores. Spore presence alone does not equal contamination.</t>
        </is>
      </c>
      <c r="D5" s="4" t="inlineStr">
        <is>
          <t>Prevents false alarms from normal background ecology.</t>
        </is>
      </c>
    </row>
    <row r="6">
      <c r="A6" s="4" t="inlineStr">
        <is>
          <t>ML-02</t>
        </is>
      </c>
      <c r="B6" s="4" t="inlineStr">
        <is>
          <t>Elevated spores matter</t>
        </is>
      </c>
      <c r="C6" s="4" t="inlineStr">
        <is>
          <t>The concern is elevated indoor spore levels, especially when indoor air is meaningfully higher than outdoor/background comparison.</t>
        </is>
      </c>
      <c r="D6" s="4" t="inlineStr">
        <is>
          <t>Helps distinguish normal conditions from likely indoor amplification.</t>
        </is>
      </c>
    </row>
    <row r="7">
      <c r="A7" s="4" t="inlineStr">
        <is>
          <t>ML-03</t>
        </is>
      </c>
      <c r="B7" s="4" t="inlineStr">
        <is>
          <t>Active colony growth is a problem</t>
        </is>
      </c>
      <c r="C7" s="4" t="inlineStr">
        <is>
          <t>Visible mold growth or colonization is more important than simple spore presence.</t>
        </is>
      </c>
      <c r="D7" s="4" t="inlineStr">
        <is>
          <t>Colonies indicate moisture plus a growth substrate.</t>
        </is>
      </c>
    </row>
    <row r="8">
      <c r="A8" s="4" t="inlineStr">
        <is>
          <t>ML-04</t>
        </is>
      </c>
      <c r="B8" s="4" t="inlineStr">
        <is>
          <t>Moisture drives amplification</t>
        </is>
      </c>
      <c r="C8" s="4" t="inlineStr">
        <is>
          <t>Mold problems require moisture, a food source, and time.</t>
        </is>
      </c>
      <c r="D8" s="4" t="inlineStr">
        <is>
          <t>Focuses the AI on leaks, condensation, and chronic dampness.</t>
        </is>
      </c>
    </row>
    <row r="9">
      <c r="A9" s="4" t="inlineStr">
        <is>
          <t>ML-05</t>
        </is>
      </c>
      <c r="B9" s="4" t="inlineStr">
        <is>
          <t>Porous materials support colonization</t>
        </is>
      </c>
      <c r="C9" s="4" t="inlineStr">
        <is>
          <t>Drywall, carpet, insulation, ceiling tile, paper, and wood are common indoor growth substrates.</t>
        </is>
      </c>
      <c r="D9" s="4" t="inlineStr">
        <is>
          <t>Improves material-aware risk scoring.</t>
        </is>
      </c>
    </row>
    <row r="10">
      <c r="A10" s="4" t="inlineStr">
        <is>
          <t>ML-06</t>
        </is>
      </c>
      <c r="B10" s="4" t="inlineStr">
        <is>
          <t>Non-porous surfaces usually host residue growth</t>
        </is>
      </c>
      <c r="C10" s="4" t="inlineStr">
        <is>
          <t>When mold appears on glass, tile, metal, or plastic, it is often growing on dust, soap film, or organic residue rather than the surface itself.</t>
        </is>
      </c>
      <c r="D10" s="4" t="inlineStr">
        <is>
          <t>Improves explanation quality and cleaning guidance.</t>
        </is>
      </c>
    </row>
    <row r="11">
      <c r="A11" s="4" t="inlineStr">
        <is>
          <t>ML-07</t>
        </is>
      </c>
      <c r="B11" s="4" t="inlineStr">
        <is>
          <t>Single-species dominance can signal a source</t>
        </is>
      </c>
      <c r="C11" s="4" t="inlineStr">
        <is>
          <t>A strongly dominant indoor genus/species compared with background may indicate an indoor growth reservoir.</t>
        </is>
      </c>
      <c r="D11" s="4" t="inlineStr">
        <is>
          <t>Useful for interpretation of air-sampling patterns.</t>
        </is>
      </c>
    </row>
    <row r="12">
      <c r="A12" s="4" t="inlineStr">
        <is>
          <t>ML-08</t>
        </is>
      </c>
      <c r="B12" s="4" t="inlineStr">
        <is>
          <t>Visual evidence should be tied to moisture context</t>
        </is>
      </c>
      <c r="C12" s="4" t="inlineStr">
        <is>
          <t>Water stains, bubbling paint, fuzzy edges, and patch growth near wet zones raise confidence of active colonization.</t>
        </is>
      </c>
      <c r="D12" s="4" t="inlineStr">
        <is>
          <t>Supports early visual detection rules.</t>
        </is>
      </c>
    </row>
    <row r="13">
      <c r="A13" s="4" t="inlineStr">
        <is>
          <t>ML-09</t>
        </is>
      </c>
      <c r="B13" s="4" t="inlineStr">
        <is>
          <t>Diagnosis should be framed carefully</t>
        </is>
      </c>
      <c r="C13" s="4" t="inlineStr">
        <is>
          <t>AI should report possible active growth, elevated risk, or need for inspection—not claim medical or lab diagnosis from photos alone.</t>
        </is>
      </c>
      <c r="D13" s="4" t="inlineStr">
        <is>
          <t>Keeps output credible and safer for users.</t>
        </is>
      </c>
    </row>
    <row r="14">
      <c r="A14" s="4" t="inlineStr">
        <is>
          <t>ML-10</t>
        </is>
      </c>
      <c r="B14" s="4" t="inlineStr">
        <is>
          <t>Remediation targets source control</t>
        </is>
      </c>
      <c r="C14" s="4" t="inlineStr">
        <is>
          <t>Successful cleanup requires moisture correction, source removal, and proper cleaning—not surface treatment alone.</t>
        </is>
      </c>
      <c r="D14" s="4" t="inlineStr">
        <is>
          <t>Prevents ineffective advice.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42" customWidth="1" min="4" max="4"/>
  </cols>
  <sheetData>
    <row r="1" ht="22" customHeight="1">
      <c r="A1" s="25" t="inlineStr">
        <is>
          <t>scenario</t>
        </is>
      </c>
    </row>
    <row r="2" ht="22" customHeight="1">
      <c r="A2" s="30" t="inlineStr">
        <is>
          <t>Normal background spores</t>
        </is>
      </c>
    </row>
    <row r="3">
      <c r="A3" s="4" t="inlineStr">
        <is>
          <t>Possible indoor amplification</t>
        </is>
      </c>
      <c r="B3" s="4" t="inlineStr">
        <is>
          <t>Aspergillus/Penicillium notably higher indoors than outdoors</t>
        </is>
      </c>
      <c r="C3" s="4" t="inlineStr">
        <is>
          <t>Lower outdoor baseline</t>
        </is>
      </c>
      <c r="D3" s="4" t="inlineStr">
        <is>
          <t>Possible indoor source; inspect HVAC, wet wall cavities, and dust reservoirs.</t>
        </is>
      </c>
    </row>
    <row r="4" ht="22" customHeight="1">
      <c r="A4" s="4" t="inlineStr">
        <is>
          <t>Visible colony on wet drywall</t>
        </is>
      </c>
      <c r="B4" s="4" t="inlineStr">
        <is>
          <t>Patchy/slimy/fuzzy colony near leak staining</t>
        </is>
      </c>
      <c r="C4" s="4" t="inlineStr">
        <is>
          <t>Outdoor comparison not needed for visual concern</t>
        </is>
      </c>
      <c r="D4" s="4" t="inlineStr">
        <is>
          <t>Active growth likely; correct moisture and remove contaminated porous material.</t>
        </is>
      </c>
    </row>
    <row r="5">
      <c r="A5" s="4" t="inlineStr">
        <is>
          <t>Growth on tile or glass</t>
        </is>
      </c>
      <c r="B5" s="4" t="inlineStr">
        <is>
          <t>Visible spots on a hard surface with soap film or dust</t>
        </is>
      </c>
      <c r="C5" s="4" t="inlineStr">
        <is>
          <t>Outdoor comparison not needed for surface explanation</t>
        </is>
      </c>
      <c r="D5" s="4" t="inlineStr">
        <is>
          <t>Likely growth on residue, not the tile/glass itself; clean residue and control moisture.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28" customWidth="1" min="4" max="4"/>
    <col width="16" customWidth="1" min="5" max="5"/>
    <col width="42" customWidth="1" min="6" max="6"/>
  </cols>
  <sheetData>
    <row r="1" ht="22" customHeight="1">
      <c r="A1" s="11" t="inlineStr">
        <is>
          <t>Home Health AI – AI Decision Tree</t>
        </is>
      </c>
    </row>
    <row r="2" ht="22" customHeight="1">
      <c r="A2" s="12" t="inlineStr">
        <is>
          <t>Use this logic to decide whether the app should reassure, monitor, recommend inspection, or recommend remediation language.</t>
        </is>
      </c>
    </row>
    <row r="4" ht="22" customHeight="1">
      <c r="A4" s="13" t="inlineStr">
        <is>
          <t>Step</t>
        </is>
      </c>
      <c r="B4" s="13" t="inlineStr">
        <is>
          <t>Decision Question</t>
        </is>
      </c>
      <c r="C4" s="13" t="inlineStr">
        <is>
          <t>If Yes</t>
        </is>
      </c>
      <c r="D4" s="13" t="inlineStr">
        <is>
          <t>If No</t>
        </is>
      </c>
      <c r="E4" s="13" t="inlineStr">
        <is>
          <t>AI Output Class</t>
        </is>
      </c>
      <c r="F4" s="13" t="inlineStr">
        <is>
          <t>Notes</t>
        </is>
      </c>
    </row>
    <row r="5">
      <c r="A5" s="4" t="n">
        <v>1</v>
      </c>
      <c r="B5" s="4" t="inlineStr">
        <is>
          <t>Is there a visible moisture indicator (stain, halo, sheen, bubbling, condensation)?</t>
        </is>
      </c>
      <c r="C5" s="4" t="inlineStr">
        <is>
          <t>Go to Step 2</t>
        </is>
      </c>
      <c r="D5" s="4" t="inlineStr">
        <is>
          <t>Go to Step 3</t>
        </is>
      </c>
      <c r="E5" s="4" t="inlineStr">
        <is>
          <t>Screening</t>
        </is>
      </c>
      <c r="F5" s="4" t="inlineStr">
        <is>
          <t>Moisture raises concern even before clear mold texture appears.</t>
        </is>
      </c>
    </row>
    <row r="6">
      <c r="A6" s="4" t="n">
        <v>2</v>
      </c>
      <c r="B6" s="4" t="inlineStr">
        <is>
          <t>Is there visible colony texture (fuzzy, powdery, slimy, patchy, irregular edge)?</t>
        </is>
      </c>
      <c r="C6" s="4" t="inlineStr">
        <is>
          <t>Go to Step 4</t>
        </is>
      </c>
      <c r="D6" s="4" t="inlineStr">
        <is>
          <t>Output = Moisture Concern</t>
        </is>
      </c>
      <c r="E6" s="4" t="inlineStr">
        <is>
          <t>Visual Triage</t>
        </is>
      </c>
      <c r="F6" s="4" t="inlineStr">
        <is>
          <t>Moisture without visible colony may still warrant monitoring or inspection.</t>
        </is>
      </c>
    </row>
    <row r="7">
      <c r="A7" s="4" t="n">
        <v>3</v>
      </c>
      <c r="B7" s="4" t="inlineStr">
        <is>
          <t>No obvious moisture. Is the area showing isolated light residue on a hard surface only?</t>
        </is>
      </c>
      <c r="C7" s="4" t="inlineStr">
        <is>
          <t>Output = Surface Residue / Monitor</t>
        </is>
      </c>
      <c r="D7" s="4" t="inlineStr">
        <is>
          <t>Output = Low Visual Evidence</t>
        </is>
      </c>
      <c r="E7" s="4" t="inlineStr">
        <is>
          <t>Reassure / Monitor</t>
        </is>
      </c>
      <c r="F7" s="4" t="inlineStr">
        <is>
          <t>Do not overcall contamination without moisture or growth indicators.</t>
        </is>
      </c>
    </row>
    <row r="8">
      <c r="A8" s="4" t="n">
        <v>4</v>
      </c>
      <c r="B8" s="4" t="inlineStr">
        <is>
          <t>Is the affected surface porous or cellulose-based (drywall, wood, carpet, ceiling tile, insulation)?</t>
        </is>
      </c>
      <c r="C8" s="4" t="inlineStr">
        <is>
          <t>Go to Step 5</t>
        </is>
      </c>
      <c r="D8" s="4" t="inlineStr">
        <is>
          <t>Go to Step 6</t>
        </is>
      </c>
      <c r="E8" s="4" t="inlineStr">
        <is>
          <t>Substrate Logic</t>
        </is>
      </c>
      <c r="F8" s="4" t="inlineStr">
        <is>
          <t>Active colonization is more significant on porous materials.</t>
        </is>
      </c>
    </row>
    <row r="9">
      <c r="A9" s="4" t="n">
        <v>5</v>
      </c>
      <c r="B9" s="4" t="inlineStr">
        <is>
          <t>Is the growth area larger than a small isolated spot OR recurring after cleaning?</t>
        </is>
      </c>
      <c r="C9" s="4" t="inlineStr">
        <is>
          <t>Output = Elevated Concern</t>
        </is>
      </c>
      <c r="D9" s="4" t="inlineStr">
        <is>
          <t>Go to Step 7</t>
        </is>
      </c>
      <c r="E9" s="4" t="inlineStr">
        <is>
          <t>Escalation</t>
        </is>
      </c>
      <c r="F9" s="4" t="inlineStr">
        <is>
          <t>Recurring growth suggests ongoing moisture or hidden amplification.</t>
        </is>
      </c>
    </row>
    <row r="10">
      <c r="A10" s="4" t="n">
        <v>6</v>
      </c>
      <c r="B10" s="4" t="inlineStr">
        <is>
          <t>On hard surface only: is dust, soap film, or organic residue likely present?</t>
        </is>
      </c>
      <c r="C10" s="4" t="inlineStr">
        <is>
          <t>Output = Residue-Supported Growth</t>
        </is>
      </c>
      <c r="D10" s="4" t="inlineStr">
        <is>
          <t>Output = Needs Human Review</t>
        </is>
      </c>
      <c r="E10" s="4" t="inlineStr">
        <is>
          <t>Surface Interpretation</t>
        </is>
      </c>
      <c r="F10" s="4" t="inlineStr">
        <is>
          <t>Mold may be feeding on residue, not the non-porous substrate itself.</t>
        </is>
      </c>
    </row>
    <row r="11">
      <c r="A11" s="4" t="n">
        <v>7</v>
      </c>
      <c r="B11" s="4" t="inlineStr">
        <is>
          <t>Are there multiple indicators together (moisture + colony + odor + recurring issue + occupant complaint)?</t>
        </is>
      </c>
      <c r="C11" s="4" t="inlineStr">
        <is>
          <t>Output = High Concern</t>
        </is>
      </c>
      <c r="D11" s="4" t="inlineStr">
        <is>
          <t>Output = Moderate Concern</t>
        </is>
      </c>
      <c r="E11" s="4" t="inlineStr">
        <is>
          <t>Risk Band</t>
        </is>
      </c>
      <c r="F11" s="4" t="inlineStr">
        <is>
          <t>Combined indicators should raise the model’s confidence and recommendation strength.</t>
        </is>
      </c>
    </row>
    <row r="14">
      <c r="A14" s="14" t="inlineStr">
        <is>
          <t>Output Class</t>
        </is>
      </c>
      <c r="B14" s="14" t="inlineStr">
        <is>
          <t>Recommended App Response</t>
        </is>
      </c>
      <c r="C14" s="14" t="inlineStr">
        <is>
          <t>Confidence Direction</t>
        </is>
      </c>
      <c r="D14" s="14" t="inlineStr">
        <is>
          <t>Suggested CTA</t>
        </is>
      </c>
    </row>
    <row r="15">
      <c r="A15" s="4" t="inlineStr">
        <is>
          <t>Low Visual Evidence</t>
        </is>
      </c>
      <c r="B15" s="4" t="inlineStr">
        <is>
          <t>No clear visual signs of active growth. Encourage moisture prevention and re-check if changes occur.</t>
        </is>
      </c>
      <c r="C15" s="4" t="inlineStr">
        <is>
          <t>Low</t>
        </is>
      </c>
      <c r="D15" s="4" t="inlineStr">
        <is>
          <t>Monitor and retake photos if area changes</t>
        </is>
      </c>
    </row>
    <row r="16">
      <c r="A16" s="4" t="inlineStr">
        <is>
          <t>Surface Residue / Monitor</t>
        </is>
      </c>
      <c r="B16" s="4" t="inlineStr">
        <is>
          <t>Visible spotting may reflect residue or surface contamination rather than active colonization.</t>
        </is>
      </c>
      <c r="C16" s="4" t="inlineStr">
        <is>
          <t>Low–Moderate</t>
        </is>
      </c>
      <c r="D16" s="4" t="inlineStr">
        <is>
          <t>Clean residue, reduce humidity, observe recurrence</t>
        </is>
      </c>
    </row>
    <row r="17">
      <c r="A17" s="4" t="inlineStr">
        <is>
          <t>Moisture Concern</t>
        </is>
      </c>
      <c r="B17" s="4" t="inlineStr">
        <is>
          <t>Visible moisture conditions can support future growth even if a colony is not clearly visible yet.</t>
        </is>
      </c>
      <c r="C17" s="4" t="inlineStr">
        <is>
          <t>Moderate</t>
        </is>
      </c>
      <c r="D17" s="4" t="inlineStr">
        <is>
          <t>Inspect leak or condensation source</t>
        </is>
      </c>
    </row>
    <row r="18">
      <c r="A18" s="4" t="inlineStr">
        <is>
          <t>Residue-Supported Growth</t>
        </is>
      </c>
      <c r="B18" s="4" t="inlineStr">
        <is>
          <t>Visible growth may be occurring on dust, soap film, or organic buildup on a hard surface.</t>
        </is>
      </c>
      <c r="C18" s="4" t="inlineStr">
        <is>
          <t>Moderate</t>
        </is>
      </c>
      <c r="D18" s="4" t="inlineStr">
        <is>
          <t>Clean residue thoroughly and control moisture</t>
        </is>
      </c>
    </row>
    <row r="19">
      <c r="A19" s="4" t="inlineStr">
        <is>
          <t>Moderate Concern</t>
        </is>
      </c>
      <c r="B19" s="4" t="inlineStr">
        <is>
          <t>Visible patterns are consistent with possible active growth and warrant closer inspection.</t>
        </is>
      </c>
      <c r="C19" s="4" t="inlineStr">
        <is>
          <t>Moderate–High</t>
        </is>
      </c>
      <c r="D19" s="4" t="inlineStr">
        <is>
          <t>Schedule targeted inspection</t>
        </is>
      </c>
    </row>
    <row r="20">
      <c r="A20" s="4" t="inlineStr">
        <is>
          <t>Elevated Concern</t>
        </is>
      </c>
      <c r="B20" s="4" t="inlineStr">
        <is>
          <t>Patterns suggest likely active growth associated with moisture and a favorable substrate.</t>
        </is>
      </c>
      <c r="C20" s="4" t="inlineStr">
        <is>
          <t>High</t>
        </is>
      </c>
      <c r="D20" s="4" t="inlineStr">
        <is>
          <t>Inspect promptly; consider limited containment precautions</t>
        </is>
      </c>
    </row>
    <row r="21">
      <c r="A21" s="4" t="inlineStr">
        <is>
          <t>High Concern</t>
        </is>
      </c>
      <c r="B21" s="4" t="inlineStr">
        <is>
          <t>Multiple indicators strongly suggest active indoor amplification and/or ongoing colony growth.</t>
        </is>
      </c>
      <c r="C21" s="4" t="inlineStr">
        <is>
          <t>High</t>
        </is>
      </c>
      <c r="D21" s="4" t="inlineStr">
        <is>
          <t>Professional inspection and moisture correction recommended</t>
        </is>
      </c>
    </row>
    <row r="22">
      <c r="A22" s="4" t="inlineStr">
        <is>
          <t>Needs Human Review</t>
        </is>
      </c>
      <c r="B22" s="4" t="inlineStr">
        <is>
          <t>Image evidence is mixed or insufficient for a reliable classification.</t>
        </is>
      </c>
      <c r="C22" s="4" t="inlineStr">
        <is>
          <t>Variable</t>
        </is>
      </c>
      <c r="D22" s="4" t="inlineStr">
        <is>
          <t>Collect more images / in-person review</t>
        </is>
      </c>
    </row>
  </sheetData>
  <mergeCells count="2">
    <mergeCell ref="A2:F2"/>
    <mergeCell ref="A1:F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3" customWidth="1" min="4" max="4"/>
    <col width="14" customWidth="1" min="5" max="5"/>
    <col width="12" customWidth="1" min="6" max="6"/>
    <col width="34" customWidth="1" min="7" max="7"/>
    <col width="26" customWidth="1" min="8" max="8"/>
  </cols>
  <sheetData>
    <row r="1" ht="22" customHeight="1">
      <c r="A1" s="11" t="inlineStr">
        <is>
          <t>Home Health AI – Weighted Risk Scoring Model</t>
        </is>
      </c>
    </row>
    <row r="2" ht="22" customHeight="1">
      <c r="A2" s="12" t="inlineStr">
        <is>
          <t>Enter 0–5 scores in the blue cells. Formulas calculate weighted risk, confidence, and suggested inspection posture.</t>
        </is>
      </c>
    </row>
    <row r="4" ht="22" customHeight="1">
      <c r="A4" s="13" t="inlineStr">
        <is>
          <t>Factor</t>
        </is>
      </c>
      <c r="B4" s="13" t="inlineStr">
        <is>
          <t>What it means</t>
        </is>
      </c>
      <c r="C4" s="13" t="inlineStr">
        <is>
          <t>Weight</t>
        </is>
      </c>
      <c r="D4" s="13" t="inlineStr">
        <is>
          <t>Input Score (0–5)</t>
        </is>
      </c>
      <c r="E4" s="13" t="inlineStr">
        <is>
          <t>Weighted Score</t>
        </is>
      </c>
      <c r="F4" s="13" t="inlineStr">
        <is>
          <t>Max Weighted</t>
        </is>
      </c>
      <c r="G4" s="13" t="inlineStr">
        <is>
          <t>Professional interpretation</t>
        </is>
      </c>
      <c r="H4" s="13" t="inlineStr">
        <is>
          <t>Comment</t>
        </is>
      </c>
    </row>
    <row r="5">
      <c r="A5" s="4" t="inlineStr">
        <is>
          <t>Visible moisture</t>
        </is>
      </c>
      <c r="B5" s="4" t="inlineStr">
        <is>
          <t>Leaks, staining, halos, condensation, or wet sheen</t>
        </is>
      </c>
      <c r="C5" s="4" t="n">
        <v>5</v>
      </c>
      <c r="D5" s="15" t="n">
        <v>0</v>
      </c>
      <c r="E5" s="16">
        <f>C5*D5</f>
        <v/>
      </c>
      <c r="F5" s="16">
        <f>ABS(C5)*5</f>
        <v/>
      </c>
      <c r="G5" s="4" t="inlineStr">
        <is>
          <t>Higher moisture = stronger colonization potential</t>
        </is>
      </c>
      <c r="H5" s="4" t="inlineStr"/>
    </row>
    <row r="6">
      <c r="A6" s="4" t="inlineStr">
        <is>
          <t>Visible colony texture</t>
        </is>
      </c>
      <c r="B6" s="4" t="inlineStr">
        <is>
          <t>Fuzzy, powdery, slimy, patchy, irregular edge</t>
        </is>
      </c>
      <c r="C6" s="4" t="n">
        <v>5</v>
      </c>
      <c r="D6" s="15" t="n">
        <v>0</v>
      </c>
      <c r="E6" s="16">
        <f>C6*D6</f>
        <v/>
      </c>
      <c r="F6" s="16">
        <f>ABS(C6)*5</f>
        <v/>
      </c>
      <c r="G6" s="4" t="inlineStr">
        <is>
          <t>Texture is one of the strongest visual indicators</t>
        </is>
      </c>
      <c r="H6" s="4" t="inlineStr"/>
    </row>
    <row r="7">
      <c r="A7" s="4" t="inlineStr">
        <is>
          <t>Porous substrate</t>
        </is>
      </c>
      <c r="B7" s="4" t="inlineStr">
        <is>
          <t>Drywall, carpet, wood, insulation, ceiling tile</t>
        </is>
      </c>
      <c r="C7" s="4" t="n">
        <v>4</v>
      </c>
      <c r="D7" s="15" t="n">
        <v>0</v>
      </c>
      <c r="E7" s="16">
        <f>C7*D7</f>
        <v/>
      </c>
      <c r="F7" s="16">
        <f>ABS(C7)*5</f>
        <v/>
      </c>
      <c r="G7" s="4" t="inlineStr">
        <is>
          <t>Porous materials increase active-growth concern</t>
        </is>
      </c>
      <c r="H7" s="4" t="inlineStr"/>
    </row>
    <row r="8">
      <c r="A8" s="4" t="inlineStr">
        <is>
          <t>Area size / spread</t>
        </is>
      </c>
      <c r="B8" s="4" t="inlineStr">
        <is>
          <t>Larger or expanding growth footprint</t>
        </is>
      </c>
      <c r="C8" s="4" t="n">
        <v>4</v>
      </c>
      <c r="D8" s="15" t="n">
        <v>0</v>
      </c>
      <c r="E8" s="16">
        <f>C8*D8</f>
        <v/>
      </c>
      <c r="F8" s="16">
        <f>ABS(C8)*5</f>
        <v/>
      </c>
      <c r="G8" s="4" t="inlineStr">
        <is>
          <t>Bigger or spreading areas raise urgency</t>
        </is>
      </c>
      <c r="H8" s="4" t="inlineStr"/>
    </row>
    <row r="9">
      <c r="A9" s="4" t="inlineStr">
        <is>
          <t>Recurrence after cleaning</t>
        </is>
      </c>
      <c r="B9" s="4" t="inlineStr">
        <is>
          <t>Returns after wipe-down or prior treatment</t>
        </is>
      </c>
      <c r="C9" s="4" t="n">
        <v>5</v>
      </c>
      <c r="D9" s="15" t="n">
        <v>0</v>
      </c>
      <c r="E9" s="16">
        <f>C9*D9</f>
        <v/>
      </c>
      <c r="F9" s="16">
        <f>ABS(C9)*5</f>
        <v/>
      </c>
      <c r="G9" s="4" t="inlineStr">
        <is>
          <t>Recurrence suggests ongoing moisture or hidden source</t>
        </is>
      </c>
      <c r="H9" s="4" t="inlineStr"/>
    </row>
    <row r="10">
      <c r="A10" s="4" t="inlineStr">
        <is>
          <t>Odor / complaint signal</t>
        </is>
      </c>
      <c r="B10" s="4" t="inlineStr">
        <is>
          <t>Musty odor, respiratory complaint, occupant concern</t>
        </is>
      </c>
      <c r="C10" s="4" t="n">
        <v>3</v>
      </c>
      <c r="D10" s="15" t="n">
        <v>0</v>
      </c>
      <c r="E10" s="16">
        <f>C10*D10</f>
        <v/>
      </c>
      <c r="F10" s="16">
        <f>ABS(C10)*5</f>
        <v/>
      </c>
      <c r="G10" s="4" t="inlineStr">
        <is>
          <t>Supportive but not diagnostic on its own</t>
        </is>
      </c>
      <c r="H10" s="4" t="inlineStr"/>
    </row>
    <row r="11">
      <c r="A11" s="4" t="inlineStr">
        <is>
          <t>Indoor &gt; outdoor signal</t>
        </is>
      </c>
      <c r="B11" s="4" t="inlineStr">
        <is>
          <t>Air sample or field evidence suggests indoor amplification</t>
        </is>
      </c>
      <c r="C11" s="4" t="n">
        <v>5</v>
      </c>
      <c r="D11" s="15" t="n">
        <v>0</v>
      </c>
      <c r="E11" s="16">
        <f>C11*D11</f>
        <v/>
      </c>
      <c r="F11" s="16">
        <f>ABS(C11)*5</f>
        <v/>
      </c>
      <c r="G11" s="4" t="inlineStr">
        <is>
          <t>Useful when spore data exists</t>
        </is>
      </c>
      <c r="H11" s="4" t="inlineStr"/>
    </row>
    <row r="12">
      <c r="A12" s="4" t="inlineStr">
        <is>
          <t>Hard-surface residue only</t>
        </is>
      </c>
      <c r="B12" s="4" t="inlineStr">
        <is>
          <t>Spots only on tile/glass/metal with soap film or dust</t>
        </is>
      </c>
      <c r="C12" s="4" t="n">
        <v>-3</v>
      </c>
      <c r="D12" s="15" t="n">
        <v>0</v>
      </c>
      <c r="E12" s="16">
        <f>C12*D12</f>
        <v/>
      </c>
      <c r="F12" s="16">
        <f>ABS(C12)*5</f>
        <v/>
      </c>
      <c r="G12" s="4" t="inlineStr">
        <is>
          <t>This should reduce the score when residue explains the image</t>
        </is>
      </c>
      <c r="H12" s="4" t="inlineStr"/>
    </row>
    <row r="14">
      <c r="A14" s="17" t="inlineStr">
        <is>
          <t>Total weighted score</t>
        </is>
      </c>
      <c r="B14" s="18">
        <f>SUM(E5:E12)</f>
        <v/>
      </c>
      <c r="D14" s="19" t="inlineStr">
        <is>
          <t>Scenario</t>
        </is>
      </c>
      <c r="E14" s="19" t="inlineStr">
        <is>
          <t>Sample score</t>
        </is>
      </c>
      <c r="F14" s="19" t="inlineStr">
        <is>
          <t>Interpretation</t>
        </is>
      </c>
      <c r="G14" s="19" t="inlineStr">
        <is>
          <t>Use case</t>
        </is>
      </c>
    </row>
    <row r="15">
      <c r="A15" s="17" t="inlineStr">
        <is>
          <t>Maximum possible score</t>
        </is>
      </c>
      <c r="B15" s="18">
        <f>SUM(F5:F12)</f>
        <v/>
      </c>
      <c r="D15" s="4" t="inlineStr">
        <is>
          <t>Dry tile spotting only</t>
        </is>
      </c>
      <c r="E15" s="4" t="inlineStr">
        <is>
          <t>Low–Guarded</t>
        </is>
      </c>
      <c r="F15" s="4" t="inlineStr">
        <is>
          <t>Often residue-supported, especially without moisture source</t>
        </is>
      </c>
      <c r="G15" s="4" t="inlineStr">
        <is>
          <t>Bathroom hard surface</t>
        </is>
      </c>
    </row>
    <row r="16">
      <c r="A16" s="17" t="inlineStr">
        <is>
          <t>Normalized risk %</t>
        </is>
      </c>
      <c r="B16" s="20">
        <f>IF(B15=0,0,(B14+B15)/(2*B15))</f>
        <v/>
      </c>
      <c r="D16" s="4" t="inlineStr">
        <is>
          <t>Wet drywall with texture lift</t>
        </is>
      </c>
      <c r="E16" s="4" t="inlineStr">
        <is>
          <t>Elevated–High</t>
        </is>
      </c>
      <c r="F16" s="4" t="inlineStr">
        <is>
          <t>Moisture plus porous material plus visible texture</t>
        </is>
      </c>
      <c r="G16" s="4" t="inlineStr">
        <is>
          <t>Leak-related room</t>
        </is>
      </c>
    </row>
    <row r="17">
      <c r="A17" s="17" t="inlineStr">
        <is>
          <t>Risk band</t>
        </is>
      </c>
      <c r="B17" s="21">
        <f>IF(B16&lt;0.25,"Low",IF(B16&lt;0.45,"Guarded / Monitor",IF(B16&lt;0.65,"Moderate",IF(B16&lt;0.8,"Elevated","High"))))</f>
        <v/>
      </c>
      <c r="D17" s="4" t="inlineStr">
        <is>
          <t>Musty odor + recurring closet spotting</t>
        </is>
      </c>
      <c r="E17" s="4" t="inlineStr">
        <is>
          <t>Moderate–High</t>
        </is>
      </c>
      <c r="F17" s="4" t="inlineStr">
        <is>
          <t>Recurring pattern raises suspicion of hidden source</t>
        </is>
      </c>
      <c r="G17" s="4" t="inlineStr">
        <is>
          <t>Closet or HVAC adjacent wall</t>
        </is>
      </c>
    </row>
    <row r="18">
      <c r="A18" s="17" t="inlineStr">
        <is>
          <t>Suggested action</t>
        </is>
      </c>
      <c r="B18" s="21">
        <f>IF(B17="Low","Educate and monitor",IF(B17="Guarded / Monitor","Clean residue / control humidity / recheck",IF(B17="Moderate","Recommend targeted inspection",IF(B17="Elevated","Prompt inspection and moisture correction","Professional inspection and remediation-oriented language"))))</f>
        <v/>
      </c>
      <c r="D18" s="4" t="inlineStr">
        <is>
          <t>No texture, no moisture, faint discoloration</t>
        </is>
      </c>
      <c r="E18" s="4" t="inlineStr">
        <is>
          <t>Low</t>
        </is>
      </c>
      <c r="F18" s="4" t="inlineStr">
        <is>
          <t>Visual evidence weak; monitor and retake images</t>
        </is>
      </c>
      <c r="G18" s="4" t="inlineStr">
        <is>
          <t>General screening</t>
        </is>
      </c>
    </row>
    <row r="19">
      <c r="A19" s="17" t="inlineStr">
        <is>
          <t>Homeowner wording strength</t>
        </is>
      </c>
      <c r="B19" s="18">
        <f>IF(B17="Low","Reassuring",IF(B17="Guarded / Monitor","Cautious",IF(B17="Moderate","Balanced concern",IF(B17="Elevated","Direct concern","Strong concern"))))</f>
        <v/>
      </c>
    </row>
    <row r="20">
      <c r="A20" s="17" t="inlineStr">
        <is>
          <t>Professional wording strength</t>
        </is>
      </c>
      <c r="B20" s="18">
        <f>IF(B17="Low","Background / no strong visual evidence",IF(B17="Guarded / Monitor","Monitor for recurrence",IF(B17="Moderate","Possible active growth",IF(B17="Elevated","Likely active growth","High suspicion for active amplification"))))</f>
        <v/>
      </c>
    </row>
  </sheetData>
  <mergeCells count="2">
    <mergeCell ref="A2:H2"/>
    <mergeCell ref="A1:H1"/>
  </mergeCells>
  <conditionalFormatting sqref="B17">
    <cfRule type="cellIs" priority="1" operator="equal" dxfId="0">
      <formula>"Low"</formula>
    </cfRule>
    <cfRule type="cellIs" priority="2" operator="equal" dxfId="1">
      <formula>"Guarded / Monitor"</formula>
    </cfRule>
    <cfRule type="cellIs" priority="3" operator="equal" dxfId="2">
      <formula>"Moderate"</formula>
    </cfRule>
    <cfRule type="cellIs" priority="4" operator="equal" dxfId="3">
      <formula>"Elevated"</formula>
    </cfRule>
    <cfRule type="cellIs" priority="5" operator="equal" dxfId="4">
      <formula>"High"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28" customWidth="1" min="4" max="4"/>
    <col width="22" customWidth="1" min="5" max="5"/>
    <col width="40" customWidth="1" min="6" max="6"/>
  </cols>
  <sheetData>
    <row r="1" ht="22" customHeight="1">
      <c r="A1" s="11" t="inlineStr">
        <is>
          <t>Home Health AI – Inspection Language by Audience</t>
        </is>
      </c>
    </row>
    <row r="2" ht="22" customHeight="1">
      <c r="A2" s="12" t="inlineStr">
        <is>
          <t>Separate homeowner language from professional language so the app stays accurate, calm, and credible.</t>
        </is>
      </c>
    </row>
    <row r="4" ht="22" customHeight="1">
      <c r="A4" s="13" t="inlineStr">
        <is>
          <t>Situation</t>
        </is>
      </c>
      <c r="B4" s="13" t="inlineStr">
        <is>
          <t>Audience</t>
        </is>
      </c>
      <c r="C4" s="13" t="inlineStr">
        <is>
          <t>Recommended wording</t>
        </is>
      </c>
      <c r="D4" s="13" t="inlineStr">
        <is>
          <t>Avoid wording</t>
        </is>
      </c>
      <c r="E4" s="13" t="inlineStr">
        <is>
          <t>Purpose</t>
        </is>
      </c>
      <c r="F4" s="13" t="inlineStr">
        <is>
          <t>Example app message</t>
        </is>
      </c>
    </row>
    <row r="5">
      <c r="A5" s="4" t="inlineStr">
        <is>
          <t>No clear evidence</t>
        </is>
      </c>
      <c r="B5" s="4" t="inlineStr">
        <is>
          <t>Homeowner</t>
        </is>
      </c>
      <c r="C5" s="4" t="inlineStr">
        <is>
          <t>No clear visual signs of active mold growth are visible in this image.</t>
        </is>
      </c>
      <c r="D5" s="4" t="inlineStr">
        <is>
          <t>You definitely do not have mold.</t>
        </is>
      </c>
      <c r="E5" s="4" t="inlineStr">
        <is>
          <t>Avoid false certainty</t>
        </is>
      </c>
      <c r="F5" s="4" t="inlineStr">
        <is>
          <t>We do not see strong visual evidence of active growth in this photo. Keep the area dry and recheck if it changes.</t>
        </is>
      </c>
    </row>
    <row r="6">
      <c r="A6" s="4" t="inlineStr">
        <is>
          <t>No clear evidence</t>
        </is>
      </c>
      <c r="B6" s="4" t="inlineStr">
        <is>
          <t>Professional</t>
        </is>
      </c>
      <c r="C6" s="4" t="inlineStr">
        <is>
          <t>Image does not show strong visual indicators of active colonization at this time.</t>
        </is>
      </c>
      <c r="D6" s="4" t="inlineStr">
        <is>
          <t>No mold present.</t>
        </is>
      </c>
      <c r="E6" s="4" t="inlineStr">
        <is>
          <t>Preserve professional caution</t>
        </is>
      </c>
      <c r="F6" s="4" t="inlineStr">
        <is>
          <t>Visual evidence is limited; continue routine moisture control and reassess if conditions change.</t>
        </is>
      </c>
    </row>
    <row r="7">
      <c r="A7" s="4" t="inlineStr">
        <is>
          <t>Hard surface spotting</t>
        </is>
      </c>
      <c r="B7" s="4" t="inlineStr">
        <is>
          <t>Homeowner</t>
        </is>
      </c>
      <c r="C7" s="4" t="inlineStr">
        <is>
          <t>This pattern may be surface residue or growth supported by dust/soap film on a hard surface.</t>
        </is>
      </c>
      <c r="D7" s="4" t="inlineStr">
        <is>
          <t>The tile itself is moldy.</t>
        </is>
      </c>
      <c r="E7" s="4" t="inlineStr">
        <is>
          <t>Teach substrate logic</t>
        </is>
      </c>
      <c r="F7" s="4" t="inlineStr">
        <is>
          <t>These spots may be feeding on residue rather than the tile or glass itself. Clean thoroughly and reduce moisture.</t>
        </is>
      </c>
    </row>
    <row r="8">
      <c r="A8" s="4" t="inlineStr">
        <is>
          <t>Hard surface spotting</t>
        </is>
      </c>
      <c r="B8" s="4" t="inlineStr">
        <is>
          <t>Professional</t>
        </is>
      </c>
      <c r="C8" s="4" t="inlineStr">
        <is>
          <t>Appearance is consistent with residue-supported growth on a non-porous surface, pending site context.</t>
        </is>
      </c>
      <c r="D8" s="4" t="inlineStr">
        <is>
          <t>Confirmed colonization of non-porous substrate.</t>
        </is>
      </c>
      <c r="E8" s="4" t="inlineStr">
        <is>
          <t>Use precise technical framing</t>
        </is>
      </c>
      <c r="F8" s="4" t="inlineStr">
        <is>
          <t>Non-porous substrate involvement appears secondary to residue loading; confirm with field context.</t>
        </is>
      </c>
    </row>
    <row r="9">
      <c r="A9" s="4" t="inlineStr">
        <is>
          <t>Moisture without visible colony</t>
        </is>
      </c>
      <c r="B9" s="4" t="inlineStr">
        <is>
          <t>Homeowner</t>
        </is>
      </c>
      <c r="C9" s="4" t="inlineStr">
        <is>
          <t>Moisture conditions are present and may support future mold growth.</t>
        </is>
      </c>
      <c r="D9" s="4" t="inlineStr">
        <is>
          <t>There is mold here.</t>
        </is>
      </c>
      <c r="E9" s="4" t="inlineStr">
        <is>
          <t>Flag risk without overcalling</t>
        </is>
      </c>
      <c r="F9" s="4" t="inlineStr">
        <is>
          <t>We see moisture-related warning signs. Address the leak or humidity source and monitor for changes.</t>
        </is>
      </c>
    </row>
    <row r="10">
      <c r="A10" s="4" t="inlineStr">
        <is>
          <t>Moisture without visible colony</t>
        </is>
      </c>
      <c r="B10" s="4" t="inlineStr">
        <is>
          <t>Professional</t>
        </is>
      </c>
      <c r="C10" s="4" t="inlineStr">
        <is>
          <t>Moisture indicators are present; visual evidence of active growth is not yet definitive.</t>
        </is>
      </c>
      <c r="D10" s="4" t="inlineStr">
        <is>
          <t>Active mold confirmed.</t>
        </is>
      </c>
      <c r="E10" s="4" t="inlineStr">
        <is>
          <t>Separate conditions from diagnosis</t>
        </is>
      </c>
      <c r="F10" s="4" t="inlineStr">
        <is>
          <t>Conditions are favorable for colonization; inspect source and monitor for progression.</t>
        </is>
      </c>
    </row>
    <row r="11">
      <c r="A11" s="4" t="inlineStr">
        <is>
          <t>Possible active growth</t>
        </is>
      </c>
      <c r="B11" s="4" t="inlineStr">
        <is>
          <t>Homeowner</t>
        </is>
      </c>
      <c r="C11" s="4" t="inlineStr">
        <is>
          <t>This image shows patterns that may be consistent with active mold growth.</t>
        </is>
      </c>
      <c r="D11" s="4" t="inlineStr">
        <is>
          <t>This is toxic mold.</t>
        </is>
      </c>
      <c r="E11" s="4" t="inlineStr">
        <is>
          <t>Maintain caution and avoid medical/legal overreach</t>
        </is>
      </c>
      <c r="F11" s="4" t="inlineStr">
        <is>
          <t>The visible texture and moisture pattern raise concern for active growth. A targeted inspection is recommended.</t>
        </is>
      </c>
    </row>
    <row r="12">
      <c r="A12" s="4" t="inlineStr">
        <is>
          <t>Possible active growth</t>
        </is>
      </c>
      <c r="B12" s="4" t="inlineStr">
        <is>
          <t>Professional</t>
        </is>
      </c>
      <c r="C12" s="4" t="inlineStr">
        <is>
          <t>Visual findings are consistent with possible active fungal colonization associated with moisture intrusion.</t>
        </is>
      </c>
      <c r="D12" s="4" t="inlineStr">
        <is>
          <t>Confirmed toxigenic contamination from image alone.</t>
        </is>
      </c>
      <c r="E12" s="4" t="inlineStr">
        <is>
          <t>Use report-ready wording</t>
        </is>
      </c>
      <c r="F12" s="4" t="inlineStr">
        <is>
          <t>Findings warrant site inspection, moisture mapping, and substrate evaluation.</t>
        </is>
      </c>
    </row>
    <row r="13">
      <c r="A13" s="4" t="inlineStr">
        <is>
          <t>High concern / recurring issue</t>
        </is>
      </c>
      <c r="B13" s="4" t="inlineStr">
        <is>
          <t>Homeowner</t>
        </is>
      </c>
      <c r="C13" s="4" t="inlineStr">
        <is>
          <t>Multiple warning signs suggest this issue should be inspected promptly by a qualified professional.</t>
        </is>
      </c>
      <c r="D13" s="4" t="inlineStr">
        <is>
          <t>Your house is unsafe.</t>
        </is>
      </c>
      <c r="E13" s="4" t="inlineStr">
        <is>
          <t>Create urgency without fear language</t>
        </is>
      </c>
      <c r="F13" s="4" t="inlineStr">
        <is>
          <t>Because the issue appears recurrent and moisture-related, professional inspection is recommended.</t>
        </is>
      </c>
    </row>
    <row r="14">
      <c r="A14" s="4" t="inlineStr">
        <is>
          <t>High concern / recurring issue</t>
        </is>
      </c>
      <c r="B14" s="4" t="inlineStr">
        <is>
          <t>Professional</t>
        </is>
      </c>
      <c r="C14" s="4" t="inlineStr">
        <is>
          <t>Combined indicators raise concern for active amplification and a persistent moisture source.</t>
        </is>
      </c>
      <c r="D14" s="4" t="inlineStr">
        <is>
          <t>Building-wide contamination confirmed.</t>
        </is>
      </c>
      <c r="E14" s="4" t="inlineStr">
        <is>
          <t>Escalate appropriately</t>
        </is>
      </c>
      <c r="F14" s="4" t="inlineStr">
        <is>
          <t>Recommend moisture correction, source investigation, and remediation scope based on field findings.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8" customWidth="1" min="4" max="4"/>
    <col width="18" customWidth="1" min="5" max="5"/>
    <col width="12" customWidth="1" min="6" max="6"/>
    <col width="24" customWidth="1" min="7" max="7"/>
    <col width="28" customWidth="1" min="8" max="8"/>
  </cols>
  <sheetData>
    <row r="1" ht="22" customHeight="1">
      <c r="A1" s="11" t="inlineStr">
        <is>
          <t>Home Health AI – Moisture Source Classification</t>
        </is>
      </c>
    </row>
    <row r="2" ht="22" customHeight="1">
      <c r="A2" s="12" t="inlineStr">
        <is>
          <t>Use this sheet to classify likely moisture causes behind visible mold or moisture signatures. The AI should infer source likelihood, not overstate certainty.</t>
        </is>
      </c>
    </row>
    <row r="4" ht="22" customHeight="1">
      <c r="A4" s="13" t="inlineStr">
        <is>
          <t>Source Type</t>
        </is>
      </c>
      <c r="B4" s="13" t="inlineStr">
        <is>
          <t>Typical Indicators</t>
        </is>
      </c>
      <c r="C4" s="13" t="inlineStr">
        <is>
          <t>Common Rooms</t>
        </is>
      </c>
      <c r="D4" s="13" t="inlineStr">
        <is>
          <t>Visual Clues</t>
        </is>
      </c>
      <c r="E4" s="13" t="inlineStr">
        <is>
          <t>Risk Pattern</t>
        </is>
      </c>
      <c r="F4" s="13" t="inlineStr">
        <is>
          <t>Likely Hidden?</t>
        </is>
      </c>
      <c r="G4" s="13" t="inlineStr">
        <is>
          <t>Suggested AI Output</t>
        </is>
      </c>
      <c r="H4" s="13" t="inlineStr">
        <is>
          <t>Professional Follow-up</t>
        </is>
      </c>
    </row>
    <row r="5">
      <c r="A5" s="4" t="inlineStr">
        <is>
          <t>Plumbing leak</t>
        </is>
      </c>
      <c r="B5" s="4" t="inlineStr">
        <is>
          <t>Localized wetness, recurring moisture near supply/drain lines</t>
        </is>
      </c>
      <c r="C5" s="4" t="inlineStr">
        <is>
          <t>Bathrooms, kitchens, laundry, under sinks</t>
        </is>
      </c>
      <c r="D5" s="4" t="inlineStr">
        <is>
          <t>Cabinet base swelling, repeated spotting below fixtures, staining around penetrations</t>
        </is>
      </c>
      <c r="E5" s="4" t="inlineStr">
        <is>
          <t>Persistent if leak remains active</t>
        </is>
      </c>
      <c r="F5" s="4" t="inlineStr">
        <is>
          <t>High</t>
        </is>
      </c>
      <c r="G5" s="4" t="inlineStr">
        <is>
          <t>Possible plumbing-related moisture source</t>
        </is>
      </c>
      <c r="H5" s="4" t="inlineStr">
        <is>
          <t>Inspect supply lines, traps, shutoffs, wall cavity if recurring</t>
        </is>
      </c>
    </row>
    <row r="6">
      <c r="A6" s="4" t="inlineStr">
        <is>
          <t>Roof leak</t>
        </is>
      </c>
      <c r="B6" s="4" t="inlineStr">
        <is>
          <t>Ceiling/wall staining after rain, attic-side dampness</t>
        </is>
      </c>
      <c r="C6" s="4" t="inlineStr">
        <is>
          <t>Attics, upper ceilings, exterior-adjacent walls</t>
        </is>
      </c>
      <c r="D6" s="4" t="inlineStr">
        <is>
          <t>Brown/yellow halos, ceiling texture damage, vertical drip paths</t>
        </is>
      </c>
      <c r="E6" s="4" t="inlineStr">
        <is>
          <t>Can worsen seasonally</t>
        </is>
      </c>
      <c r="F6" s="4" t="inlineStr">
        <is>
          <t>Moderate-High</t>
        </is>
      </c>
      <c r="G6" s="4" t="inlineStr">
        <is>
          <t>Possible roof or flashing intrusion</t>
        </is>
      </c>
      <c r="H6" s="4" t="inlineStr">
        <is>
          <t>Inspect roof assembly, attic decking, penetrations, flashing</t>
        </is>
      </c>
    </row>
    <row r="7">
      <c r="A7" s="4" t="inlineStr">
        <is>
          <t>HVAC condensation</t>
        </is>
      </c>
      <c r="B7" s="4" t="inlineStr">
        <is>
          <t>Growth around vents, air handler, drain pans, ducts</t>
        </is>
      </c>
      <c r="C7" s="4" t="inlineStr">
        <is>
          <t>Closets, mechanical rooms, ceilings near vents</t>
        </is>
      </c>
      <c r="D7" s="4" t="inlineStr">
        <is>
          <t>Black spotting near register boots, condensation sheen, rust marks</t>
        </is>
      </c>
      <c r="E7" s="4" t="inlineStr">
        <is>
          <t>Often chronic if drainage/insulation poor</t>
        </is>
      </c>
      <c r="F7" s="4" t="inlineStr">
        <is>
          <t>Moderate-High</t>
        </is>
      </c>
      <c r="G7" s="4" t="inlineStr">
        <is>
          <t>Possible HVAC condensation source</t>
        </is>
      </c>
      <c r="H7" s="4" t="inlineStr">
        <is>
          <t>Check drain pans, line clogs, duct insulation, humidity control</t>
        </is>
      </c>
    </row>
    <row r="8">
      <c r="A8" s="4" t="inlineStr">
        <is>
          <t>Humidity / condensation</t>
        </is>
      </c>
      <c r="B8" s="4" t="inlineStr">
        <is>
          <t>Diffuse spotting on cool surfaces, windows, corners</t>
        </is>
      </c>
      <c r="C8" s="4" t="inlineStr">
        <is>
          <t>Bathrooms, bedrooms, exterior walls, closets</t>
        </is>
      </c>
      <c r="D8" s="4" t="inlineStr">
        <is>
          <t>Uniform spotting, window track moisture, cold-corner growth</t>
        </is>
      </c>
      <c r="E8" s="4" t="inlineStr">
        <is>
          <t>Often seasonal and room-wide</t>
        </is>
      </c>
      <c r="F8" s="4" t="inlineStr">
        <is>
          <t>Moderate</t>
        </is>
      </c>
      <c r="G8" s="4" t="inlineStr">
        <is>
          <t>High indoor humidity / condensation likely</t>
        </is>
      </c>
      <c r="H8" s="4" t="inlineStr">
        <is>
          <t>Check ventilation, RH, thermal bridging, occupant habits</t>
        </is>
      </c>
    </row>
    <row r="9">
      <c r="A9" s="4" t="inlineStr">
        <is>
          <t>Ground / crawlspace moisture</t>
        </is>
      </c>
      <c r="B9" s="4" t="inlineStr">
        <is>
          <t>Lower-wall dampness, musty odor, subfloor concerns</t>
        </is>
      </c>
      <c r="C9" s="4" t="inlineStr">
        <is>
          <t>Crawlspaces, lower walls, first-floor closets</t>
        </is>
      </c>
      <c r="D9" s="4" t="inlineStr">
        <is>
          <t>Baseboard staining, floor-edge cupping, insulation discoloration</t>
        </is>
      </c>
      <c r="E9" s="4" t="inlineStr">
        <is>
          <t>Can spread broadly over time</t>
        </is>
      </c>
      <c r="F9" s="4" t="inlineStr">
        <is>
          <t>High</t>
        </is>
      </c>
      <c r="G9" s="4" t="inlineStr">
        <is>
          <t>Possible ground moisture or crawlspace contribution</t>
        </is>
      </c>
      <c r="H9" s="4" t="inlineStr">
        <is>
          <t>Inspect vapor barrier, drainage, vents, subfloor moisture</t>
        </is>
      </c>
    </row>
    <row r="10">
      <c r="A10" s="4" t="inlineStr">
        <is>
          <t>Flood / bulk water event</t>
        </is>
      </c>
      <c r="B10" s="4" t="inlineStr">
        <is>
          <t>Rapid wetting history, broad material impact</t>
        </is>
      </c>
      <c r="C10" s="4" t="inlineStr">
        <is>
          <t>Any room after intrusion</t>
        </is>
      </c>
      <c r="D10" s="4" t="inlineStr">
        <is>
          <t>Water line, warped materials, staining and debris patterns</t>
        </is>
      </c>
      <c r="E10" s="4" t="inlineStr">
        <is>
          <t>High acute risk</t>
        </is>
      </c>
      <c r="F10" s="4" t="inlineStr">
        <is>
          <t>Variable</t>
        </is>
      </c>
      <c r="G10" s="4" t="inlineStr">
        <is>
          <t>Past bulk-water event may explain growth conditions</t>
        </is>
      </c>
      <c r="H10" s="4" t="inlineStr">
        <is>
          <t>Determine event history, material replacement scope, drying verification</t>
        </is>
      </c>
    </row>
    <row r="11">
      <c r="A11" s="4" t="inlineStr">
        <is>
          <t>Window / envelope intrusion</t>
        </is>
      </c>
      <c r="B11" s="4" t="inlineStr">
        <is>
          <t>Localized staining below windows or exterior penetrations</t>
        </is>
      </c>
      <c r="C11" s="4" t="inlineStr">
        <is>
          <t>Bedrooms, living rooms, exterior-facing walls</t>
        </is>
      </c>
      <c r="D11" s="4" t="inlineStr">
        <is>
          <t>Streaking below sill, trim swelling, localized drywall discoloration</t>
        </is>
      </c>
      <c r="E11" s="4" t="inlineStr">
        <is>
          <t>May recur with weather</t>
        </is>
      </c>
      <c r="F11" s="4" t="inlineStr">
        <is>
          <t>Moderate</t>
        </is>
      </c>
      <c r="G11" s="4" t="inlineStr">
        <is>
          <t>Possible envelope or window intrusion</t>
        </is>
      </c>
      <c r="H11" s="4" t="inlineStr">
        <is>
          <t>Inspect sealants, flashing, cladding transitions</t>
        </is>
      </c>
    </row>
    <row r="12">
      <c r="A12" s="4" t="inlineStr">
        <is>
          <t>Unknown / mixed</t>
        </is>
      </c>
      <c r="B12" s="4" t="inlineStr">
        <is>
          <t>Multiple possible indicators with weak source confidence</t>
        </is>
      </c>
      <c r="C12" s="4" t="inlineStr">
        <is>
          <t>Any</t>
        </is>
      </c>
      <c r="D12" s="4" t="inlineStr">
        <is>
          <t>Mixed evidence</t>
        </is>
      </c>
      <c r="E12" s="4" t="inlineStr">
        <is>
          <t>Needs contextual review</t>
        </is>
      </c>
      <c r="F12" s="4" t="inlineStr">
        <is>
          <t>Unknown</t>
        </is>
      </c>
      <c r="G12" s="4" t="inlineStr">
        <is>
          <t>Moisture source unclear from image alone</t>
        </is>
      </c>
      <c r="H12" s="4" t="inlineStr">
        <is>
          <t>Use site history, moisture mapping, and more images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22" customWidth="1" min="4" max="4"/>
    <col width="22" customWidth="1" min="5" max="5"/>
    <col width="24" customWidth="1" min="6" max="6"/>
    <col width="26" customWidth="1" min="7" max="7"/>
    <col width="24" customWidth="1" min="8" max="8"/>
    <col width="12" customWidth="1" min="9" max="9"/>
  </cols>
  <sheetData>
    <row r="1" ht="22" customHeight="1">
      <c r="A1" s="11" t="inlineStr">
        <is>
          <t>Home Health AI – Room-by-Room Inspection Logic</t>
        </is>
      </c>
    </row>
    <row r="2" ht="22" customHeight="1">
      <c r="A2" s="12" t="inlineStr">
        <is>
          <t>Use this sheet to tailor AI recommendations to the room context. The same visual pattern can mean different things in a bathroom than in an attic or crawlspace.</t>
        </is>
      </c>
    </row>
    <row r="4" ht="22" customHeight="1">
      <c r="A4" s="13" t="inlineStr">
        <is>
          <t>Room / Area</t>
        </is>
      </c>
      <c r="B4" s="13" t="inlineStr">
        <is>
          <t>Primary Risk Drivers</t>
        </is>
      </c>
      <c r="C4" s="13" t="inlineStr">
        <is>
          <t>High-Value Checkpoints</t>
        </is>
      </c>
      <c r="D4" s="13" t="inlineStr">
        <is>
          <t>Common False Positives</t>
        </is>
      </c>
      <c r="E4" s="13" t="inlineStr">
        <is>
          <t>Escalation Triggers</t>
        </is>
      </c>
      <c r="F4" s="13" t="inlineStr">
        <is>
          <t>Homeowner Language</t>
        </is>
      </c>
      <c r="G4" s="13" t="inlineStr">
        <is>
          <t>Professional Language</t>
        </is>
      </c>
      <c r="H4" s="13" t="inlineStr">
        <is>
          <t>Suggested Next Step</t>
        </is>
      </c>
      <c r="I4" s="13" t="inlineStr">
        <is>
          <t>Priority</t>
        </is>
      </c>
    </row>
    <row r="5">
      <c r="A5" s="4" t="inlineStr">
        <is>
          <t>Bathroom</t>
        </is>
      </c>
      <c r="B5" s="4" t="inlineStr">
        <is>
          <t>Humidity, shower condensation, plumbing leaks</t>
        </is>
      </c>
      <c r="C5" s="4" t="inlineStr">
        <is>
          <t>Caulk lines, grout, vanity base, toilet seal area, exhaust fan performance</t>
        </is>
      </c>
      <c r="D5" s="4" t="inlineStr">
        <is>
          <t>Soap film, mildew on residue, cosmetic staining</t>
        </is>
      </c>
      <c r="E5" s="4" t="inlineStr">
        <is>
          <t>Recurring spotting, bubbling drywall, sub-sink moisture</t>
        </is>
      </c>
      <c r="F5" s="4" t="inlineStr">
        <is>
          <t>This area often has humidity-related spotting. Improve drying and check for leaks.</t>
        </is>
      </c>
      <c r="G5" s="4" t="inlineStr">
        <is>
          <t>Bathroom conditions favor condensation-related growth; evaluate ventilation and concealed plumbing.</t>
        </is>
      </c>
      <c r="H5" s="4" t="inlineStr">
        <is>
          <t>Check RH, fan, caulk/grout, plumbing under vanity</t>
        </is>
      </c>
      <c r="I5" s="4" t="inlineStr">
        <is>
          <t>Moderate</t>
        </is>
      </c>
    </row>
    <row r="6">
      <c r="A6" s="4" t="inlineStr">
        <is>
          <t>Kitchen</t>
        </is>
      </c>
      <c r="B6" s="4" t="inlineStr">
        <is>
          <t>Sink leaks, dishwasher leaks, icemaker line, poor ventilation</t>
        </is>
      </c>
      <c r="C6" s="4" t="inlineStr">
        <is>
          <t>Under sink, behind dishwasher, refrigerator line, backsplash penetrations</t>
        </is>
      </c>
      <c r="D6" s="4" t="inlineStr">
        <is>
          <t>Food splatter, grease film, old staining</t>
        </is>
      </c>
      <c r="E6" s="4" t="inlineStr">
        <is>
          <t>Recurring cabinet-base swelling, odor, hidden leak history</t>
        </is>
      </c>
      <c r="F6" s="4" t="inlineStr">
        <is>
          <t>Kitchen moisture can come from plumbing or appliance lines. Recurring spots should be checked.</t>
        </is>
      </c>
      <c r="G6" s="4" t="inlineStr">
        <is>
          <t>Inspect for active or intermittent plumbing/appliance leaks and substrate impact.</t>
        </is>
      </c>
      <c r="H6" s="4" t="inlineStr">
        <is>
          <t>Inspect appliance lines and cabinet base; retake images after cleaning</t>
        </is>
      </c>
      <c r="I6" s="4" t="inlineStr">
        <is>
          <t>Moderate-High</t>
        </is>
      </c>
    </row>
    <row r="7">
      <c r="A7" s="4" t="inlineStr">
        <is>
          <t>Laundry</t>
        </is>
      </c>
      <c r="B7" s="4" t="inlineStr">
        <is>
          <t>Washer hoses, drain overflow, dryer humidity</t>
        </is>
      </c>
      <c r="C7" s="4" t="inlineStr">
        <is>
          <t>Supply hoses, drain standpipe, behind washer, wall base</t>
        </is>
      </c>
      <c r="D7" s="4" t="inlineStr">
        <is>
          <t>Detergent residue, lint buildup</t>
        </is>
      </c>
      <c r="E7" s="4" t="inlineStr">
        <is>
          <t>Recurring dampness, floor edge damage, musty closet-like odor</t>
        </is>
      </c>
      <c r="F7" s="4" t="inlineStr">
        <is>
          <t>Laundry areas can stay damp from hoses or drainage problems.</t>
        </is>
      </c>
      <c r="G7" s="4" t="inlineStr">
        <is>
          <t>Assess intermittent discharge, hose integrity, drain overflow risk, and adjacent material wetting.</t>
        </is>
      </c>
      <c r="H7" s="4" t="inlineStr">
        <is>
          <t>Inspect hoses, drain line, pan, nearby drywall and flooring</t>
        </is>
      </c>
      <c r="I7" s="4" t="inlineStr">
        <is>
          <t>Moderate-High</t>
        </is>
      </c>
    </row>
    <row r="8">
      <c r="A8" s="4" t="inlineStr">
        <is>
          <t>Bedroom</t>
        </is>
      </c>
      <c r="B8" s="4" t="inlineStr">
        <is>
          <t>Window condensation, exterior-wall intrusion, closet stagnation</t>
        </is>
      </c>
      <c r="C8" s="4" t="inlineStr">
        <is>
          <t>Window sills, exterior corners, closet walls</t>
        </is>
      </c>
      <c r="D8" s="4" t="inlineStr">
        <is>
          <t>Dust, scuffs, shadowing</t>
        </is>
      </c>
      <c r="E8" s="4" t="inlineStr">
        <is>
          <t>Cold-corner spotting, repeated window moisture, occupant complaint</t>
        </is>
      </c>
      <c r="F8" s="4" t="inlineStr">
        <is>
          <t>Bedrooms can collect condensation on cooler walls or around windows.</t>
        </is>
      </c>
      <c r="G8" s="4" t="inlineStr">
        <is>
          <t>Differentiate condensation patterns from envelope intrusion and evaluate closet airflow.</t>
        </is>
      </c>
      <c r="H8" s="4" t="inlineStr">
        <is>
          <t>Check windows, RH, airflow, exterior wall temperature</t>
        </is>
      </c>
      <c r="I8" s="4" t="inlineStr">
        <is>
          <t>Moderate</t>
        </is>
      </c>
    </row>
    <row r="9">
      <c r="A9" s="4" t="inlineStr">
        <is>
          <t>Closet</t>
        </is>
      </c>
      <c r="B9" s="4" t="inlineStr">
        <is>
          <t>Low airflow, humidity, exterior wall cooling, hidden leaks</t>
        </is>
      </c>
      <c r="C9" s="4" t="inlineStr">
        <is>
          <t>Back walls, corners, ceiling-wall joints, adjacent plumbing walls</t>
        </is>
      </c>
      <c r="D9" s="4" t="inlineStr">
        <is>
          <t>Dust, fabric transfer, shelf scuffs</t>
        </is>
      </c>
      <c r="E9" s="4" t="inlineStr">
        <is>
          <t>Musty odor, recurring back-wall spotting, adjacent bathroom wall</t>
        </is>
      </c>
      <c r="F9" s="4" t="inlineStr">
        <is>
          <t>Closets can trap moisture because air does not move well.</t>
        </is>
      </c>
      <c r="G9" s="4" t="inlineStr">
        <is>
          <t>Low-airflow space with possible condensation or concealed wall-source contribution.</t>
        </is>
      </c>
      <c r="H9" s="4" t="inlineStr">
        <is>
          <t>Improve airflow; inspect adjacent wet walls if recurring</t>
        </is>
      </c>
      <c r="I9" s="4" t="inlineStr">
        <is>
          <t>Moderate-High</t>
        </is>
      </c>
    </row>
    <row r="10">
      <c r="A10" s="4" t="inlineStr">
        <is>
          <t>Attic</t>
        </is>
      </c>
      <c r="B10" s="4" t="inlineStr">
        <is>
          <t>Roof intrusion, duct sweating, poor ventilation</t>
        </is>
      </c>
      <c r="C10" s="4" t="inlineStr">
        <is>
          <t>Roof decking, insulation, penetrations, duct boots</t>
        </is>
      </c>
      <c r="D10" s="4" t="inlineStr">
        <is>
          <t>Old staining, dirt, wood discoloration not microbial</t>
        </is>
      </c>
      <c r="E10" s="4" t="inlineStr">
        <is>
          <t>Fresh staining, wet decking, chronic vent-area growth</t>
        </is>
      </c>
      <c r="F10" s="4" t="inlineStr">
        <is>
          <t>Attic staining may relate to roof leaks or ventilation issues.</t>
        </is>
      </c>
      <c r="G10" s="4" t="inlineStr">
        <is>
          <t>Differentiate historic staining from active wetting; inspect decking moisture and ventilation balance.</t>
        </is>
      </c>
      <c r="H10" s="4" t="inlineStr">
        <is>
          <t>Inspect after rain if possible; check ducts and vents</t>
        </is>
      </c>
      <c r="I10" s="4" t="inlineStr">
        <is>
          <t>High</t>
        </is>
      </c>
    </row>
    <row r="11">
      <c r="A11" s="4" t="inlineStr">
        <is>
          <t>Crawlspace</t>
        </is>
      </c>
      <c r="B11" s="4" t="inlineStr">
        <is>
          <t>Ground moisture, vapor barrier failure, drainage</t>
        </is>
      </c>
      <c r="C11" s="4" t="inlineStr">
        <is>
          <t>Subfloor, joists, insulation, perimeter walls</t>
        </is>
      </c>
      <c r="D11" s="4" t="inlineStr">
        <is>
          <t>Soil staining, dirt, construction residue</t>
        </is>
      </c>
      <c r="E11" s="4" t="inlineStr">
        <is>
          <t>Musty odor, wood moisture, broad fungal growth pattern</t>
        </is>
      </c>
      <c r="F11" s="4" t="inlineStr">
        <is>
          <t>Crawlspaces can hold moisture from the ground for long periods.</t>
        </is>
      </c>
      <c r="G11" s="4" t="inlineStr">
        <is>
          <t>Assess vapor control, drainage, ventilation, and structural wood moisture.</t>
        </is>
      </c>
      <c r="H11" s="4" t="inlineStr">
        <is>
          <t>Inspect vapor barrier and wood moisture; consider professional crawlspace review</t>
        </is>
      </c>
      <c r="I11" s="4" t="inlineStr">
        <is>
          <t>High</t>
        </is>
      </c>
    </row>
    <row r="12">
      <c r="A12" s="4" t="inlineStr">
        <is>
          <t>HVAC / Mechanical</t>
        </is>
      </c>
      <c r="B12" s="4" t="inlineStr">
        <is>
          <t>Condensate leaks, drain pan issues, duct insulation</t>
        </is>
      </c>
      <c r="C12" s="4" t="inlineStr">
        <is>
          <t>Air handler, drain lines, plenums, nearby drywall</t>
        </is>
      </c>
      <c r="D12" s="4" t="inlineStr">
        <is>
          <t>Dust accumulation, rust, normal grime</t>
        </is>
      </c>
      <c r="E12" s="4" t="inlineStr">
        <is>
          <t>Repeated vent spotting, pan overflow, line clogs</t>
        </is>
      </c>
      <c r="F12" s="4" t="inlineStr">
        <is>
          <t>Mechanical areas can support growth when condensation is not draining correctly.</t>
        </is>
      </c>
      <c r="G12" s="4" t="inlineStr">
        <is>
          <t>Evaluate condensate management, insulation, and localized amplification near supply paths.</t>
        </is>
      </c>
      <c r="H12" s="4" t="inlineStr">
        <is>
          <t>Inspect drain pan, line, insulation, surrounding surfaces</t>
        </is>
      </c>
      <c r="I12" s="4" t="inlineStr">
        <is>
          <t>High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2" customWidth="1" min="5" max="5"/>
    <col width="24" customWidth="1" min="6" max="6"/>
    <col width="28" customWidth="1" min="7" max="7"/>
    <col width="28" customWidth="1" min="8" max="8"/>
    <col width="24" customWidth="1" min="9" max="9"/>
  </cols>
  <sheetData>
    <row r="1" ht="22" customHeight="1">
      <c r="A1" s="11" t="inlineStr">
        <is>
          <t>Home Health AI – Remediation Decision Framework</t>
        </is>
      </c>
    </row>
    <row r="2" ht="22" customHeight="1">
      <c r="A2" s="12" t="inlineStr">
        <is>
          <t>This framework helps the app distinguish between monitor/clean/escalate pathways. It does not replace a field scope or standard of care.</t>
        </is>
      </c>
    </row>
    <row r="4" ht="22" customHeight="1">
      <c r="A4" s="13" t="inlineStr">
        <is>
          <t>Scenario</t>
        </is>
      </c>
      <c r="B4" s="13" t="inlineStr">
        <is>
          <t>Visual Severity</t>
        </is>
      </c>
      <c r="C4" s="13" t="inlineStr">
        <is>
          <t>Substrate Type</t>
        </is>
      </c>
      <c r="D4" s="13" t="inlineStr">
        <is>
          <t>Moisture Status</t>
        </is>
      </c>
      <c r="E4" s="13" t="inlineStr">
        <is>
          <t>Recurrence</t>
        </is>
      </c>
      <c r="F4" s="13" t="inlineStr">
        <is>
          <t>Suggested Path</t>
        </is>
      </c>
      <c r="G4" s="13" t="inlineStr">
        <is>
          <t>Homeowner Message</t>
        </is>
      </c>
      <c r="H4" s="13" t="inlineStr">
        <is>
          <t>Professional Message</t>
        </is>
      </c>
      <c r="I4" s="13" t="inlineStr">
        <is>
          <t>Notes / Limits</t>
        </is>
      </c>
    </row>
    <row r="5">
      <c r="A5" s="4" t="inlineStr">
        <is>
          <t>Light spotting on hard surface only</t>
        </is>
      </c>
      <c r="B5" s="4" t="inlineStr">
        <is>
          <t>Low</t>
        </is>
      </c>
      <c r="C5" s="4" t="inlineStr">
        <is>
          <t>Non-porous with residue</t>
        </is>
      </c>
      <c r="D5" s="4" t="inlineStr">
        <is>
          <t>No active wetness visible</t>
        </is>
      </c>
      <c r="E5" s="4" t="inlineStr">
        <is>
          <t>No</t>
        </is>
      </c>
      <c r="F5" s="4" t="inlineStr">
        <is>
          <t>Clean + monitor</t>
        </is>
      </c>
      <c r="G5" s="4" t="inlineStr">
        <is>
          <t>Clean the surface thoroughly and watch for return after moisture is controlled.</t>
        </is>
      </c>
      <c r="H5" s="4" t="inlineStr">
        <is>
          <t>Likely residue-supported growth; confirm no hidden moisture.</t>
        </is>
      </c>
      <c r="I5" s="4" t="inlineStr">
        <is>
          <t>Do not imply substrate colonization from image alone.</t>
        </is>
      </c>
    </row>
    <row r="6">
      <c r="A6" s="4" t="inlineStr">
        <is>
          <t>Localized spotting on porous material</t>
        </is>
      </c>
      <c r="B6" s="4" t="inlineStr">
        <is>
          <t>Moderate</t>
        </is>
      </c>
      <c r="C6" s="4" t="inlineStr">
        <is>
          <t>Porous</t>
        </is>
      </c>
      <c r="D6" s="4" t="inlineStr">
        <is>
          <t>Possible or prior wetness</t>
        </is>
      </c>
      <c r="E6" s="4" t="inlineStr">
        <is>
          <t>Unknown</t>
        </is>
      </c>
      <c r="F6" s="4" t="inlineStr">
        <is>
          <t>Targeted inspection</t>
        </is>
      </c>
      <c r="G6" s="4" t="inlineStr">
        <is>
          <t>Visible patterns may reflect active growth on an absorbent material. A closer inspection is recommended.</t>
        </is>
      </c>
      <c r="H6" s="4" t="inlineStr">
        <is>
          <t>Possible active colonization on porous substrate; inspect source and extent.</t>
        </is>
      </c>
      <c r="I6" s="4" t="inlineStr">
        <is>
          <t>Porous materials raise concern even with small visible area.</t>
        </is>
      </c>
    </row>
    <row r="7">
      <c r="A7" s="4" t="inlineStr">
        <is>
          <t>Recurring growth after cleaning</t>
        </is>
      </c>
      <c r="B7" s="4" t="inlineStr">
        <is>
          <t>Moderate-High</t>
        </is>
      </c>
      <c r="C7" s="4" t="inlineStr">
        <is>
          <t>Any</t>
        </is>
      </c>
      <c r="D7" s="4" t="inlineStr">
        <is>
          <t>Likely ongoing</t>
        </is>
      </c>
      <c r="E7" s="4" t="inlineStr">
        <is>
          <t>Yes</t>
        </is>
      </c>
      <c r="F7" s="4" t="inlineStr">
        <is>
          <t>Escalate to source investigation</t>
        </is>
      </c>
      <c r="G7" s="4" t="inlineStr">
        <is>
          <t>Because the issue keeps returning, the moisture source may still be present.</t>
        </is>
      </c>
      <c r="H7" s="4" t="inlineStr">
        <is>
          <t>Recurrence suggests unresolved moisture and possible concealed growth.</t>
        </is>
      </c>
      <c r="I7" s="4" t="inlineStr">
        <is>
          <t>Recurrence should materially raise model concern.</t>
        </is>
      </c>
    </row>
    <row r="8">
      <c r="A8" s="4" t="inlineStr">
        <is>
          <t>Widespread growth + moisture evidence</t>
        </is>
      </c>
      <c r="B8" s="4" t="inlineStr">
        <is>
          <t>High</t>
        </is>
      </c>
      <c r="C8" s="4" t="inlineStr">
        <is>
          <t>Porous or mixed</t>
        </is>
      </c>
      <c r="D8" s="4" t="inlineStr">
        <is>
          <t>Active or likely active</t>
        </is>
      </c>
      <c r="E8" s="4" t="inlineStr">
        <is>
          <t>Yes/Unknown</t>
        </is>
      </c>
      <c r="F8" s="4" t="inlineStr">
        <is>
          <t>Professional inspection / remediation-oriented pathway</t>
        </is>
      </c>
      <c r="G8" s="4" t="inlineStr">
        <is>
          <t>Multiple signs suggest a larger moisture-related issue that should be inspected promptly.</t>
        </is>
      </c>
      <c r="H8" s="4" t="inlineStr">
        <is>
          <t>Combined indicators raise concern for active amplification and remediation scoping.</t>
        </is>
      </c>
      <c r="I8" s="4" t="inlineStr">
        <is>
          <t>Avoid exact square-foot claims from image alone.</t>
        </is>
      </c>
    </row>
    <row r="9">
      <c r="A9" s="4" t="inlineStr">
        <is>
          <t>Historic stain without current texture</t>
        </is>
      </c>
      <c r="B9" s="4" t="inlineStr">
        <is>
          <t>Low-Moderate</t>
        </is>
      </c>
      <c r="C9" s="4" t="inlineStr">
        <is>
          <t>Any</t>
        </is>
      </c>
      <c r="D9" s="4" t="inlineStr">
        <is>
          <t>No clear active wetness</t>
        </is>
      </c>
      <c r="E9" s="4" t="inlineStr">
        <is>
          <t>No</t>
        </is>
      </c>
      <c r="F9" s="4" t="inlineStr">
        <is>
          <t>Monitor / verify history</t>
        </is>
      </c>
      <c r="G9" s="4" t="inlineStr">
        <is>
          <t>This may be older staining, but the area should be watched for changes or dampness.</t>
        </is>
      </c>
      <c r="H9" s="4" t="inlineStr">
        <is>
          <t>Historic impact possible; verify no current wetting or active colonization.</t>
        </is>
      </c>
      <c r="I9" s="4" t="inlineStr">
        <is>
          <t>Encourage follow-up images and history questions.</t>
        </is>
      </c>
    </row>
    <row r="10">
      <c r="A10" s="4" t="inlineStr">
        <is>
          <t>HVAC vent spotting with condensation signs</t>
        </is>
      </c>
      <c r="B10" s="4" t="inlineStr">
        <is>
          <t>Moderate-High</t>
        </is>
      </c>
      <c r="C10" s="4" t="inlineStr">
        <is>
          <t>Mixed</t>
        </is>
      </c>
      <c r="D10" s="4" t="inlineStr">
        <is>
          <t>Likely active condensation</t>
        </is>
      </c>
      <c r="E10" s="4" t="inlineStr">
        <is>
          <t>Often recurring</t>
        </is>
      </c>
      <c r="F10" s="4" t="inlineStr">
        <is>
          <t>Inspect mechanical source</t>
        </is>
      </c>
      <c r="G10" s="4" t="inlineStr">
        <is>
          <t>This pattern may be related to condensation around the HVAC system.</t>
        </is>
      </c>
      <c r="H10" s="4" t="inlineStr">
        <is>
          <t>Evaluate drain, insulation, register boot, and nearby moisture conditions.</t>
        </is>
      </c>
      <c r="I10" s="4" t="inlineStr">
        <is>
          <t>Mechanical review often more important than surface cleaning alone.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2" customWidth="1" min="4" max="4"/>
    <col width="20" customWidth="1" min="5" max="5"/>
    <col width="10" customWidth="1" min="6" max="6"/>
    <col width="14" customWidth="1" min="7" max="7"/>
    <col width="12" customWidth="1" min="8" max="8"/>
    <col width="20" customWidth="1" min="9" max="9"/>
    <col width="18" customWidth="1" min="10" max="10"/>
  </cols>
  <sheetData>
    <row r="1" ht="22" customHeight="1">
      <c r="A1" s="11" t="inlineStr">
        <is>
          <t>Home Health AI – Image Label Taxonomy</t>
        </is>
      </c>
    </row>
    <row r="2" ht="22" customHeight="1">
      <c r="A2" s="12" t="inlineStr">
        <is>
          <t>Use consistent labels for training images so the model can learn visual features, room context, substrate logic, and recommendation pathways.</t>
        </is>
      </c>
    </row>
    <row r="4" ht="22" customHeight="1">
      <c r="A4" s="13" t="inlineStr">
        <is>
          <t>Label Group</t>
        </is>
      </c>
      <c r="B4" s="13" t="inlineStr">
        <is>
          <t>Field Name</t>
        </is>
      </c>
      <c r="C4" s="13" t="inlineStr">
        <is>
          <t>Allowed Values / Examples</t>
        </is>
      </c>
      <c r="D4" s="13" t="inlineStr">
        <is>
          <t>Purpose</t>
        </is>
      </c>
      <c r="E4" s="13" t="inlineStr">
        <is>
          <t>Example Annotation</t>
        </is>
      </c>
      <c r="F4" s="13" t="inlineStr">
        <is>
          <t>Data Type</t>
        </is>
      </c>
      <c r="G4" s="13" t="inlineStr">
        <is>
          <t>Input or Derived</t>
        </is>
      </c>
      <c r="H4" s="13" t="inlineStr">
        <is>
          <t>AI Relevance</t>
        </is>
      </c>
      <c r="I4" s="13" t="inlineStr">
        <is>
          <t>Review Note</t>
        </is>
      </c>
      <c r="J4" s="13" t="inlineStr">
        <is>
          <t>Source / Context</t>
        </is>
      </c>
    </row>
    <row r="5">
      <c r="A5" s="4" t="inlineStr">
        <is>
          <t>Image metadata</t>
        </is>
      </c>
      <c r="B5" s="4" t="inlineStr">
        <is>
          <t>image_id</t>
        </is>
      </c>
      <c r="C5" s="4" t="inlineStr">
        <is>
          <t>unique file ID</t>
        </is>
      </c>
      <c r="D5" s="4" t="inlineStr">
        <is>
          <t>Track image across model pipeline</t>
        </is>
      </c>
      <c r="E5" s="4" t="inlineStr">
        <is>
          <t>IMG_000123</t>
        </is>
      </c>
      <c r="F5" s="4" t="inlineStr">
        <is>
          <t>Text</t>
        </is>
      </c>
      <c r="G5" s="4" t="inlineStr">
        <is>
          <t>Input</t>
        </is>
      </c>
      <c r="H5" s="4" t="inlineStr">
        <is>
          <t>High</t>
        </is>
      </c>
      <c r="I5" s="4" t="inlineStr">
        <is>
          <t>Required for joins</t>
        </is>
      </c>
      <c r="J5" s="4" t="inlineStr">
        <is>
          <t>upload system</t>
        </is>
      </c>
    </row>
    <row r="6">
      <c r="A6" s="4" t="inlineStr">
        <is>
          <t>Scene context</t>
        </is>
      </c>
      <c r="B6" s="4" t="inlineStr">
        <is>
          <t>room_type</t>
        </is>
      </c>
      <c r="C6" s="4" t="inlineStr">
        <is>
          <t>bathroom, kitchen, attic, crawlspace, closet, bedroom, laundry, hvac</t>
        </is>
      </c>
      <c r="D6" s="4" t="inlineStr">
        <is>
          <t>Add environmental context</t>
        </is>
      </c>
      <c r="E6" s="4" t="inlineStr">
        <is>
          <t>bathroom</t>
        </is>
      </c>
      <c r="F6" s="4" t="inlineStr">
        <is>
          <t>Categorical</t>
        </is>
      </c>
      <c r="G6" s="4" t="inlineStr">
        <is>
          <t>Input</t>
        </is>
      </c>
      <c r="H6" s="4" t="inlineStr">
        <is>
          <t>High</t>
        </is>
      </c>
      <c r="I6" s="4" t="inlineStr">
        <is>
          <t>Use controlled list</t>
        </is>
      </c>
      <c r="J6" s="4" t="inlineStr">
        <is>
          <t>annotator</t>
        </is>
      </c>
    </row>
    <row r="7">
      <c r="A7" s="4" t="inlineStr">
        <is>
          <t>Substrate</t>
        </is>
      </c>
      <c r="B7" s="4" t="inlineStr">
        <is>
          <t>surface_type</t>
        </is>
      </c>
      <c r="C7" s="4" t="inlineStr">
        <is>
          <t>drywall, wood, carpet, insulation, tile, metal, glass, plastic</t>
        </is>
      </c>
      <c r="D7" s="4" t="inlineStr">
        <is>
          <t>Apply porous vs non-porous logic</t>
        </is>
      </c>
      <c r="E7" s="4" t="inlineStr">
        <is>
          <t>drywall</t>
        </is>
      </c>
      <c r="F7" s="4" t="inlineStr">
        <is>
          <t>Categorical</t>
        </is>
      </c>
      <c r="G7" s="4" t="inlineStr">
        <is>
          <t>Input</t>
        </is>
      </c>
      <c r="H7" s="4" t="inlineStr">
        <is>
          <t>High</t>
        </is>
      </c>
      <c r="I7" s="4" t="inlineStr">
        <is>
          <t>Controlled vocabulary</t>
        </is>
      </c>
      <c r="J7" s="4" t="inlineStr">
        <is>
          <t>annotator</t>
        </is>
      </c>
    </row>
    <row r="8">
      <c r="A8" s="4" t="inlineStr">
        <is>
          <t>Moisture signal</t>
        </is>
      </c>
      <c r="B8" s="4" t="inlineStr">
        <is>
          <t>moisture_visible</t>
        </is>
      </c>
      <c r="C8" s="4" t="inlineStr">
        <is>
          <t>0/1</t>
        </is>
      </c>
      <c r="D8" s="4" t="inlineStr">
        <is>
          <t>Flag visible wetness or sheen</t>
        </is>
      </c>
      <c r="E8" s="4" t="inlineStr">
        <is>
          <t>1</t>
        </is>
      </c>
      <c r="F8" s="4" t="inlineStr">
        <is>
          <t>Binary</t>
        </is>
      </c>
      <c r="G8" s="4" t="inlineStr">
        <is>
          <t>Input</t>
        </is>
      </c>
      <c r="H8" s="4" t="inlineStr">
        <is>
          <t>High</t>
        </is>
      </c>
      <c r="I8" s="4" t="inlineStr">
        <is>
          <t>Needs image evidence</t>
        </is>
      </c>
      <c r="J8" s="4" t="inlineStr">
        <is>
          <t>annotator</t>
        </is>
      </c>
    </row>
    <row r="9">
      <c r="A9" s="4" t="inlineStr">
        <is>
          <t>Visual feature</t>
        </is>
      </c>
      <c r="B9" s="4" t="inlineStr">
        <is>
          <t>texture_type</t>
        </is>
      </c>
      <c r="C9" s="4" t="inlineStr">
        <is>
          <t>fuzzy, powdery, slimy, dust-like, none</t>
        </is>
      </c>
      <c r="D9" s="4" t="inlineStr">
        <is>
          <t>Help classify colony type</t>
        </is>
      </c>
      <c r="E9" s="4" t="inlineStr">
        <is>
          <t>fuzzy</t>
        </is>
      </c>
      <c r="F9" s="4" t="inlineStr">
        <is>
          <t>Categorical</t>
        </is>
      </c>
      <c r="G9" s="4" t="inlineStr">
        <is>
          <t>Input</t>
        </is>
      </c>
      <c r="H9" s="4" t="inlineStr">
        <is>
          <t>High</t>
        </is>
      </c>
      <c r="I9" s="4" t="inlineStr">
        <is>
          <t>Use best-fit single label if needed</t>
        </is>
      </c>
      <c r="J9" s="4" t="inlineStr">
        <is>
          <t>annotator</t>
        </is>
      </c>
    </row>
    <row r="10">
      <c r="A10" s="4" t="inlineStr">
        <is>
          <t>Visual feature</t>
        </is>
      </c>
      <c r="B10" s="4" t="inlineStr">
        <is>
          <t>edge_pattern</t>
        </is>
      </c>
      <c r="C10" s="4" t="inlineStr">
        <is>
          <t>circular, diffuse, irregular, linear, speckled</t>
        </is>
      </c>
      <c r="D10" s="4" t="inlineStr">
        <is>
          <t>Describe growth geometry</t>
        </is>
      </c>
      <c r="E10" s="4" t="inlineStr">
        <is>
          <t>irregular</t>
        </is>
      </c>
      <c r="F10" s="4" t="inlineStr">
        <is>
          <t>Categorical</t>
        </is>
      </c>
      <c r="G10" s="4" t="inlineStr">
        <is>
          <t>Input</t>
        </is>
      </c>
      <c r="H10" s="4" t="inlineStr">
        <is>
          <t>High</t>
        </is>
      </c>
      <c r="I10" s="4" t="inlineStr">
        <is>
          <t>Can be multi-label in future</t>
        </is>
      </c>
      <c r="J10" s="4" t="inlineStr">
        <is>
          <t>annotator</t>
        </is>
      </c>
    </row>
    <row r="11">
      <c r="A11" s="4" t="inlineStr">
        <is>
          <t>Visual feature</t>
        </is>
      </c>
      <c r="B11" s="4" t="inlineStr">
        <is>
          <t>color_profile</t>
        </is>
      </c>
      <c r="C11" s="4" t="inlineStr">
        <is>
          <t>black, green, brown, gray, white, yellow, mixed</t>
        </is>
      </c>
      <c r="D11" s="4" t="inlineStr">
        <is>
          <t>Support CV learning</t>
        </is>
      </c>
      <c r="E11" s="4" t="inlineStr">
        <is>
          <t>mixed</t>
        </is>
      </c>
      <c r="F11" s="4" t="inlineStr">
        <is>
          <t>Categorical</t>
        </is>
      </c>
      <c r="G11" s="4" t="inlineStr">
        <is>
          <t>Input</t>
        </is>
      </c>
      <c r="H11" s="4" t="inlineStr">
        <is>
          <t>Medium-High</t>
        </is>
      </c>
      <c r="I11" s="4" t="inlineStr">
        <is>
          <t>Use dominant visible colors</t>
        </is>
      </c>
      <c r="J11" s="4" t="inlineStr">
        <is>
          <t>annotator</t>
        </is>
      </c>
    </row>
    <row r="12">
      <c r="A12" s="4" t="inlineStr">
        <is>
          <t>Coverage</t>
        </is>
      </c>
      <c r="B12" s="4" t="inlineStr">
        <is>
          <t>coverage_band</t>
        </is>
      </c>
      <c r="C12" s="4" t="inlineStr">
        <is>
          <t>trace, small, moderate, broad</t>
        </is>
      </c>
      <c r="D12" s="4" t="inlineStr">
        <is>
          <t>Approximate severity without exact area claim</t>
        </is>
      </c>
      <c r="E12" s="4" t="inlineStr">
        <is>
          <t>small</t>
        </is>
      </c>
      <c r="F12" s="4" t="inlineStr">
        <is>
          <t>Ordinal</t>
        </is>
      </c>
      <c r="G12" s="4" t="inlineStr">
        <is>
          <t>Derived</t>
        </is>
      </c>
      <c r="H12" s="4" t="inlineStr">
        <is>
          <t>Medium</t>
        </is>
      </c>
      <c r="I12" s="4" t="inlineStr">
        <is>
          <t>Avoid exact sqft from image</t>
        </is>
      </c>
      <c r="J12" s="4" t="inlineStr">
        <is>
          <t>model/annotator</t>
        </is>
      </c>
    </row>
    <row r="13">
      <c r="A13" s="4" t="inlineStr">
        <is>
          <t>Source inference</t>
        </is>
      </c>
      <c r="B13" s="4" t="inlineStr">
        <is>
          <t>likely_source</t>
        </is>
      </c>
      <c r="C13" s="4" t="inlineStr">
        <is>
          <t>plumbing, roof, hvac, condensation, crawlspace, unknown</t>
        </is>
      </c>
      <c r="D13" s="4" t="inlineStr">
        <is>
          <t>Connect image to probable moisture cause</t>
        </is>
      </c>
      <c r="E13" s="4" t="inlineStr">
        <is>
          <t>condensation</t>
        </is>
      </c>
      <c r="F13" s="4" t="inlineStr">
        <is>
          <t>Categorical</t>
        </is>
      </c>
      <c r="G13" s="4" t="inlineStr">
        <is>
          <t>Derived</t>
        </is>
      </c>
      <c r="H13" s="4" t="inlineStr">
        <is>
          <t>High</t>
        </is>
      </c>
      <c r="I13" s="4" t="inlineStr">
        <is>
          <t>Inference only, not certainty</t>
        </is>
      </c>
      <c r="J13" s="4" t="inlineStr">
        <is>
          <t>model</t>
        </is>
      </c>
    </row>
    <row r="14">
      <c r="A14" s="4" t="inlineStr">
        <is>
          <t>App output</t>
        </is>
      </c>
      <c r="B14" s="4" t="inlineStr">
        <is>
          <t>risk_band</t>
        </is>
      </c>
      <c r="C14" s="4" t="inlineStr">
        <is>
          <t>low, guarded, moderate, elevated, high</t>
        </is>
      </c>
      <c r="D14" s="4" t="inlineStr">
        <is>
          <t>Standardize response language</t>
        </is>
      </c>
      <c r="E14" s="4" t="inlineStr">
        <is>
          <t>moderate</t>
        </is>
      </c>
      <c r="F14" s="4" t="inlineStr">
        <is>
          <t>Ordinal</t>
        </is>
      </c>
      <c r="G14" s="4" t="inlineStr">
        <is>
          <t>Derived</t>
        </is>
      </c>
      <c r="H14" s="4" t="inlineStr">
        <is>
          <t>High</t>
        </is>
      </c>
      <c r="I14" s="4" t="inlineStr">
        <is>
          <t>Should align with scoring sheet</t>
        </is>
      </c>
      <c r="J14" s="4" t="inlineStr">
        <is>
          <t>model</t>
        </is>
      </c>
    </row>
    <row r="15">
      <c r="A15" s="4" t="inlineStr">
        <is>
          <t>App output</t>
        </is>
      </c>
      <c r="B15" s="4" t="inlineStr">
        <is>
          <t>next_step</t>
        </is>
      </c>
      <c r="C15" s="4" t="inlineStr">
        <is>
          <t>monitor, clean, inspect, escalate</t>
        </is>
      </c>
      <c r="D15" s="4" t="inlineStr">
        <is>
          <t>Power workflow and CTA</t>
        </is>
      </c>
      <c r="E15" s="4" t="inlineStr">
        <is>
          <t>inspect</t>
        </is>
      </c>
      <c r="F15" s="4" t="inlineStr">
        <is>
          <t>Categorical</t>
        </is>
      </c>
      <c r="G15" s="4" t="inlineStr">
        <is>
          <t>Derived</t>
        </is>
      </c>
      <c r="H15" s="4" t="inlineStr">
        <is>
          <t>High</t>
        </is>
      </c>
      <c r="I15" s="4" t="inlineStr">
        <is>
          <t>Map to decision tree</t>
        </is>
      </c>
      <c r="J15" s="4" t="inlineStr">
        <is>
          <t>model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4" customWidth="1" min="10" max="10"/>
    <col width="20" customWidth="1" min="11" max="11"/>
    <col width="20" customWidth="1" min="12" max="12"/>
  </cols>
  <sheetData>
    <row r="1" ht="22" customHeight="1">
      <c r="A1" s="11" t="inlineStr">
        <is>
          <t>Home Health AI – Training Annotation Template</t>
        </is>
      </c>
    </row>
    <row r="2" ht="22" customHeight="1">
      <c r="A2" s="12" t="inlineStr">
        <is>
          <t>Fill blue cells for each training image. Derived columns calculate basic flags and route toward app output classes.</t>
        </is>
      </c>
    </row>
    <row r="4" ht="22" customHeight="1">
      <c r="A4" s="13" t="inlineStr">
        <is>
          <t>image_id</t>
        </is>
      </c>
      <c r="B4" s="13" t="inlineStr">
        <is>
          <t>room_type</t>
        </is>
      </c>
      <c r="C4" s="13" t="inlineStr">
        <is>
          <t>surface_type</t>
        </is>
      </c>
      <c r="D4" s="13" t="inlineStr">
        <is>
          <t>moisture_visible (0/1)</t>
        </is>
      </c>
      <c r="E4" s="13" t="inlineStr">
        <is>
          <t>texture_type</t>
        </is>
      </c>
      <c r="F4" s="13" t="inlineStr">
        <is>
          <t>edge_pattern</t>
        </is>
      </c>
      <c r="G4" s="13" t="inlineStr">
        <is>
          <t>color_profile</t>
        </is>
      </c>
      <c r="H4" s="13" t="inlineStr">
        <is>
          <t>recurring_issue (0/1)</t>
        </is>
      </c>
      <c r="I4" s="13" t="inlineStr">
        <is>
          <t>odor_reported (0/1)</t>
        </is>
      </c>
      <c r="J4" s="13" t="inlineStr">
        <is>
          <t>likely_source</t>
        </is>
      </c>
      <c r="K4" s="13" t="inlineStr">
        <is>
          <t>derived_substrate_flag</t>
        </is>
      </c>
      <c r="L4" s="13" t="inlineStr">
        <is>
          <t>derived_attention_flag</t>
        </is>
      </c>
    </row>
    <row r="5">
      <c r="A5" s="22" t="inlineStr">
        <is>
          <t>IMG_001</t>
        </is>
      </c>
      <c r="B5" s="22" t="inlineStr">
        <is>
          <t>bathroom</t>
        </is>
      </c>
      <c r="C5" s="22" t="inlineStr">
        <is>
          <t>tile</t>
        </is>
      </c>
      <c r="D5" s="22" t="n">
        <v>1</v>
      </c>
      <c r="E5" s="22" t="inlineStr">
        <is>
          <t>speckled</t>
        </is>
      </c>
      <c r="F5" s="22" t="inlineStr">
        <is>
          <t>diffuse</t>
        </is>
      </c>
      <c r="G5" s="22" t="inlineStr">
        <is>
          <t>black</t>
        </is>
      </c>
      <c r="H5" s="22" t="n">
        <v>0</v>
      </c>
      <c r="I5" s="22" t="n">
        <v>0</v>
      </c>
      <c r="J5" s="22" t="inlineStr">
        <is>
          <t>condensation</t>
        </is>
      </c>
      <c r="K5" s="23">
        <f>IF(OR(C5="drywall",C5="wood",C5="carpet",C5="insulation"),"Porous","Hard/Mixed")</f>
        <v/>
      </c>
      <c r="L5" s="23">
        <f>IF(AND(D5=1,OR(K5="Porous",H5=1,I5=1)),"Escalate","Review / Monitor")</f>
        <v/>
      </c>
    </row>
    <row r="6">
      <c r="A6" s="22" t="inlineStr">
        <is>
          <t>IMG_002</t>
        </is>
      </c>
      <c r="B6" s="22" t="inlineStr">
        <is>
          <t>closet</t>
        </is>
      </c>
      <c r="C6" s="22" t="inlineStr">
        <is>
          <t>drywall</t>
        </is>
      </c>
      <c r="D6" s="22" t="n">
        <v>1</v>
      </c>
      <c r="E6" s="22" t="inlineStr">
        <is>
          <t>fuzzy</t>
        </is>
      </c>
      <c r="F6" s="22" t="inlineStr">
        <is>
          <t>irregular</t>
        </is>
      </c>
      <c r="G6" s="22" t="inlineStr">
        <is>
          <t>mixed</t>
        </is>
      </c>
      <c r="H6" s="22" t="n">
        <v>1</v>
      </c>
      <c r="I6" s="22" t="n">
        <v>1</v>
      </c>
      <c r="J6" s="22" t="inlineStr">
        <is>
          <t>unknown</t>
        </is>
      </c>
      <c r="K6" s="23">
        <f>IF(OR(C6="drywall",C6="wood",C6="carpet",C6="insulation"),"Porous","Hard/Mixed")</f>
        <v/>
      </c>
      <c r="L6" s="23">
        <f>IF(AND(D6=1,OR(K6="Porous",H6=1,I6=1)),"Escalate","Review / Monitor")</f>
        <v/>
      </c>
    </row>
    <row r="7">
      <c r="A7" s="22" t="inlineStr">
        <is>
          <t>IMG_003</t>
        </is>
      </c>
      <c r="B7" s="22" t="inlineStr">
        <is>
          <t>hvac</t>
        </is>
      </c>
      <c r="C7" s="22" t="inlineStr">
        <is>
          <t>metal</t>
        </is>
      </c>
      <c r="D7" s="22" t="n">
        <v>1</v>
      </c>
      <c r="E7" s="22" t="inlineStr">
        <is>
          <t>dust-like</t>
        </is>
      </c>
      <c r="F7" s="22" t="inlineStr">
        <is>
          <t>linear</t>
        </is>
      </c>
      <c r="G7" s="22" t="inlineStr">
        <is>
          <t>black</t>
        </is>
      </c>
      <c r="H7" s="22" t="n">
        <v>1</v>
      </c>
      <c r="I7" s="22" t="n">
        <v>1</v>
      </c>
      <c r="J7" s="22" t="inlineStr">
        <is>
          <t>hvac</t>
        </is>
      </c>
      <c r="K7" s="23">
        <f>IF(OR(C7="drywall",C7="wood",C7="carpet",C7="insulation"),"Porous","Hard/Mixed")</f>
        <v/>
      </c>
      <c r="L7" s="23">
        <f>IF(AND(D7=1,OR(K7="Porous",H7=1,I7=1)),"Escalate","Review / Monitor")</f>
        <v/>
      </c>
    </row>
    <row r="8">
      <c r="A8" s="22" t="inlineStr">
        <is>
          <t>IMG_004</t>
        </is>
      </c>
      <c r="B8" s="22" t="inlineStr">
        <is>
          <t>attic</t>
        </is>
      </c>
      <c r="C8" s="22" t="inlineStr">
        <is>
          <t>wood</t>
        </is>
      </c>
      <c r="D8" s="22" t="n">
        <v>1</v>
      </c>
      <c r="E8" s="22" t="inlineStr">
        <is>
          <t>powdery</t>
        </is>
      </c>
      <c r="F8" s="22" t="inlineStr">
        <is>
          <t>patchy</t>
        </is>
      </c>
      <c r="G8" s="22" t="inlineStr">
        <is>
          <t>brown</t>
        </is>
      </c>
      <c r="H8" s="22" t="n">
        <v>0</v>
      </c>
      <c r="I8" s="22" t="n">
        <v>0</v>
      </c>
      <c r="J8" s="22" t="inlineStr">
        <is>
          <t>roof</t>
        </is>
      </c>
      <c r="K8" s="23">
        <f>IF(OR(C8="drywall",C8="wood",C8="carpet",C8="insulation"),"Porous","Hard/Mixed")</f>
        <v/>
      </c>
      <c r="L8" s="23">
        <f>IF(AND(D8=1,OR(K8="Porous",H8=1,I8=1)),"Escalate","Review / Monitor")</f>
        <v/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34" customWidth="1" min="4" max="4"/>
    <col width="34" customWidth="1" min="5" max="5"/>
    <col width="24" customWidth="1" min="6" max="6"/>
  </cols>
  <sheetData>
    <row r="1">
      <c r="A1" s="1" t="inlineStr">
        <is>
          <t>Home Health AI – Lab Interpretation Rules</t>
        </is>
      </c>
    </row>
    <row r="2">
      <c r="A2" s="2" t="inlineStr">
        <is>
          <t>Condensed rules from the uploaded lab report and interpretation guide for safer AI screening outputs.</t>
        </is>
      </c>
    </row>
    <row r="4">
      <c r="A4" s="7" t="inlineStr">
        <is>
          <t>Section</t>
        </is>
      </c>
      <c r="B4" s="7" t="inlineStr">
        <is>
          <t>Topic</t>
        </is>
      </c>
      <c r="C4" s="7" t="inlineStr">
        <is>
          <t>Lab rule / interpretation</t>
        </is>
      </c>
      <c r="D4" s="7" t="inlineStr">
        <is>
          <t>AI implication</t>
        </is>
      </c>
      <c r="E4" s="7" t="inlineStr">
        <is>
          <t>Example app language</t>
        </is>
      </c>
      <c r="F4" s="7" t="inlineStr">
        <is>
          <t>Source file</t>
        </is>
      </c>
    </row>
    <row r="5">
      <c r="A5" s="4" t="inlineStr">
        <is>
          <t>Air cassette logic</t>
        </is>
      </c>
      <c r="B5" s="4" t="inlineStr">
        <is>
          <t>Non-viable spore trap</t>
        </is>
      </c>
      <c r="C5" s="4" t="inlineStr">
        <is>
          <t>Air-O-Cell / spore-trap analysis identifies and counts airborne spores by microscopy; it does not culture viability.</t>
        </is>
      </c>
      <c r="D5" s="4" t="inlineStr">
        <is>
          <t>Do not claim a photo or air sample proves a live colony without context.</t>
        </is>
      </c>
      <c r="E5" s="4" t="inlineStr">
        <is>
          <t>Air data can suggest amplification, but viability and source confirmation may require more inspection.</t>
        </is>
      </c>
      <c r="F5" s="4" t="inlineStr">
        <is>
          <t>Lab Information.pdf</t>
        </is>
      </c>
    </row>
    <row r="6">
      <c r="A6" s="4" t="inlineStr">
        <is>
          <t>Air cassette logic</t>
        </is>
      </c>
      <c r="B6" s="4" t="inlineStr">
        <is>
          <t>Indoor vs outdoor comparison</t>
        </is>
      </c>
      <c r="C6" s="4" t="inlineStr">
        <is>
          <t>Indoor air is commonly interpreted against an exterior/baseline sample; elevated indoor counts and/or unusual dominance can suggest indoor amplification.</t>
        </is>
      </c>
      <c r="D6" s="4" t="inlineStr">
        <is>
          <t>Use comparison logic when air data exists; avoid calling contamination from a single raw number alone.</t>
        </is>
      </c>
      <c r="E6" s="4" t="inlineStr">
        <is>
          <t>Indoor levels above baseline can increase concern for indoor amplification.</t>
        </is>
      </c>
      <c r="F6" s="4" t="inlineStr">
        <is>
          <t>Lab Information.pdf</t>
        </is>
      </c>
    </row>
    <row r="7">
      <c r="A7" s="4" t="inlineStr">
        <is>
          <t>Air cassette logic</t>
        </is>
      </c>
      <c r="B7" s="4" t="inlineStr">
        <is>
          <t>Count per m³</t>
        </is>
      </c>
      <c r="C7" s="4" t="inlineStr">
        <is>
          <t>Count per cubic meter is calculated from raw count adjusted for sampled air volume.</t>
        </is>
      </c>
      <c r="D7" s="4" t="inlineStr">
        <is>
          <t>Store both raw count and count/m³ when using lab examples or QA data.</t>
        </is>
      </c>
      <c r="E7" s="4" t="inlineStr">
        <is>
          <t>Standardized count/m³ helps compare samples collected at different volumes.</t>
        </is>
      </c>
      <c r="F7" s="4" t="inlineStr">
        <is>
          <t>21056763_Jaunich_20211020173423.pdf</t>
        </is>
      </c>
    </row>
    <row r="8">
      <c r="A8" s="4" t="inlineStr">
        <is>
          <t>Air cassette logic</t>
        </is>
      </c>
      <c r="B8" s="4" t="inlineStr">
        <is>
          <t>Background debris / density</t>
        </is>
      </c>
      <c r="C8" s="4" t="inlineStr">
        <is>
          <t>Higher debris can occlude small spores and make undercounting more likely.</t>
        </is>
      </c>
      <c r="D8" s="4" t="inlineStr">
        <is>
          <t>Lower AI confidence when lab notes show heavy background or visibility issues.</t>
        </is>
      </c>
      <c r="E8" s="4" t="inlineStr">
        <is>
          <t>Heavy background can hide smaller spores, so findings may under-represent the true load.</t>
        </is>
      </c>
      <c r="F8" s="4" t="inlineStr">
        <is>
          <t>Both uploaded PDFs</t>
        </is>
      </c>
    </row>
    <row r="9">
      <c r="A9" s="4" t="inlineStr">
        <is>
          <t>Air cassette logic</t>
        </is>
      </c>
      <c r="B9" s="4" t="inlineStr">
        <is>
          <t>Rain / humidity shift outdoor profile</t>
        </is>
      </c>
      <c r="C9" s="4" t="inlineStr">
        <is>
          <t>Rain or high humidity may depress some outdoor spores while increasing ascospores / basidiospores.</t>
        </is>
      </c>
      <c r="D9" s="4" t="inlineStr">
        <is>
          <t>Do not over-interpret a wet-day baseline without weather context.</t>
        </is>
      </c>
      <c r="E9" s="4" t="inlineStr">
        <is>
          <t>Weather can shift outdoor fungal profiles, especially ascospores and basidiospores.</t>
        </is>
      </c>
      <c r="F9" s="4" t="inlineStr">
        <is>
          <t>Lab Information.pdf</t>
        </is>
      </c>
    </row>
    <row r="10">
      <c r="A10" s="4" t="inlineStr">
        <is>
          <t>Water-damage thresholds</t>
        </is>
      </c>
      <c r="B10" s="4" t="inlineStr">
        <is>
          <t>High-moisture indicators</t>
        </is>
      </c>
      <c r="C10" s="4" t="inlineStr">
        <is>
          <t>Stachybotrys and Chaetomium are treated as strong water-damage indicators even at relatively low counts.</t>
        </is>
      </c>
      <c r="D10" s="4" t="inlineStr">
        <is>
          <t>Escalate concern when these appear with moisture evidence or porous substrates.</t>
        </is>
      </c>
      <c r="E10" s="4" t="inlineStr">
        <is>
          <t>Water-damage indicator molds deserve more attention even at lower counts.</t>
        </is>
      </c>
      <c r="F10" s="4" t="inlineStr">
        <is>
          <t>21056763_Jaunich_20211020173423.pdf</t>
        </is>
      </c>
    </row>
    <row r="11">
      <c r="A11" s="4" t="inlineStr">
        <is>
          <t>Grouping logic</t>
        </is>
      </c>
      <c r="B11" s="4" t="inlineStr">
        <is>
          <t>Aspergillus/Penicillium grouping</t>
        </is>
      </c>
      <c r="C11" s="4" t="inlineStr">
        <is>
          <t>Small round spores are often reported together on non-viable samples; similar-looking fungi can also fall in that grouped bucket.</t>
        </is>
      </c>
      <c r="D11" s="4" t="inlineStr">
        <is>
          <t>Use AI visual groups to avoid false precision from photos or non-viable microscopy.</t>
        </is>
      </c>
      <c r="E11" s="4" t="inlineStr">
        <is>
          <t>Some molds look too similar to separate confidently without reproductive structures.</t>
        </is>
      </c>
      <c r="F11" s="4" t="inlineStr">
        <is>
          <t>Both uploaded PDFs</t>
        </is>
      </c>
    </row>
    <row r="12">
      <c r="A12" s="4" t="inlineStr">
        <is>
          <t>Direct ID logic</t>
        </is>
      </c>
      <c r="B12" s="4" t="inlineStr">
        <is>
          <t>Evidence-of-growth scale</t>
        </is>
      </c>
      <c r="C12" s="4" t="inlineStr">
        <is>
          <t>Direct-ID uses rare / light / moderate / heavy to estimate possible growth based on mycelia and conidiophores.</t>
        </is>
      </c>
      <c r="D12" s="4" t="inlineStr">
        <is>
          <t>Map this to confidence and next-step language instead of medical claims.</t>
        </is>
      </c>
      <c r="E12" s="4" t="inlineStr">
        <is>
          <t>Surface evidence can be described as limited, possible, probable, or significant growth.</t>
        </is>
      </c>
      <c r="F12" s="4" t="inlineStr">
        <is>
          <t>21056763_Jaunich_20211020173423.pdf</t>
        </is>
      </c>
    </row>
    <row r="13">
      <c r="A13" s="4" t="inlineStr">
        <is>
          <t>Safety framing</t>
        </is>
      </c>
      <c r="B13" s="4" t="inlineStr">
        <is>
          <t>Screening vs diagnosis</t>
        </is>
      </c>
      <c r="C13" s="4" t="inlineStr">
        <is>
          <t>Lab reports explicitly avoid declaring building safety from lab data alone.</t>
        </is>
      </c>
      <c r="D13" s="4" t="inlineStr">
        <is>
          <t>Keep the app in screening / triage mode, not medical or definitive diagnosis mode.</t>
        </is>
      </c>
      <c r="E13" s="4" t="inlineStr">
        <is>
          <t>This tool screens for concern and helps decide whether inspection is warranted.</t>
        </is>
      </c>
      <c r="F13" s="4" t="inlineStr">
        <is>
          <t>Both uploaded PDFs</t>
        </is>
      </c>
    </row>
    <row r="16">
      <c r="A16" s="1" t="inlineStr">
        <is>
          <t>Background Density Scale</t>
        </is>
      </c>
    </row>
    <row r="17">
      <c r="A17" s="7" t="inlineStr">
        <is>
          <t>Density</t>
        </is>
      </c>
      <c r="B17" s="7" t="inlineStr">
        <is>
          <t>Amount of particulate on slide</t>
        </is>
      </c>
      <c r="C17" s="7" t="inlineStr">
        <is>
          <t>Interpretation</t>
        </is>
      </c>
      <c r="D17" s="7" t="inlineStr">
        <is>
          <t>Occlusion risk</t>
        </is>
      </c>
      <c r="E17" s="7" t="inlineStr">
        <is>
          <t>AI confidence adjustment</t>
        </is>
      </c>
      <c r="F17" s="7" t="inlineStr">
        <is>
          <t>Source file</t>
        </is>
      </c>
    </row>
    <row r="18">
      <c r="A18" s="4" t="inlineStr">
        <is>
          <t>1</t>
        </is>
      </c>
      <c r="B18" s="4" t="inlineStr">
        <is>
          <t>Insignificant</t>
        </is>
      </c>
      <c r="C18" s="4" t="inlineStr">
        <is>
          <t>Should not skew counts</t>
        </is>
      </c>
      <c r="D18" s="4" t="inlineStr">
        <is>
          <t>Minimal</t>
        </is>
      </c>
      <c r="E18" s="4" t="inlineStr">
        <is>
          <t>No penalty</t>
        </is>
      </c>
      <c r="F18" s="4" t="inlineStr">
        <is>
          <t>21056763_Jaunich_20211020173423.pdf</t>
        </is>
      </c>
    </row>
    <row r="19">
      <c r="A19" s="4" t="inlineStr">
        <is>
          <t>1+</t>
        </is>
      </c>
      <c r="B19" s="4" t="inlineStr">
        <is>
          <t>Low</t>
        </is>
      </c>
      <c r="C19" s="4" t="inlineStr">
        <is>
          <t>Should not skew counts</t>
        </is>
      </c>
      <c r="D19" s="4" t="inlineStr">
        <is>
          <t>Low</t>
        </is>
      </c>
      <c r="E19" s="4" t="inlineStr">
        <is>
          <t>No penalty</t>
        </is>
      </c>
      <c r="F19" s="4" t="inlineStr">
        <is>
          <t>21056763_Jaunich_20211020173423.pdf</t>
        </is>
      </c>
    </row>
    <row r="20">
      <c r="A20" s="4" t="inlineStr">
        <is>
          <t>2</t>
        </is>
      </c>
      <c r="B20" s="4" t="inlineStr">
        <is>
          <t>Low to moderate</t>
        </is>
      </c>
      <c r="C20" s="4" t="inlineStr">
        <is>
          <t>Should not skew counts</t>
        </is>
      </c>
      <c r="D20" s="4" t="inlineStr">
        <is>
          <t>Low</t>
        </is>
      </c>
      <c r="E20" s="4" t="inlineStr">
        <is>
          <t>Small caution only</t>
        </is>
      </c>
      <c r="F20" s="4" t="inlineStr">
        <is>
          <t>21056763_Jaunich_20211020173423.pdf</t>
        </is>
      </c>
    </row>
    <row r="21">
      <c r="A21" s="4" t="inlineStr">
        <is>
          <t>2+</t>
        </is>
      </c>
      <c r="B21" s="4" t="inlineStr">
        <is>
          <t>Moderate to high</t>
        </is>
      </c>
      <c r="C21" s="4" t="inlineStr">
        <is>
          <t>May occlude small spores</t>
        </is>
      </c>
      <c r="D21" s="4" t="inlineStr">
        <is>
          <t>Moderate</t>
        </is>
      </c>
      <c r="E21" s="4" t="inlineStr">
        <is>
          <t>Lower confidence slightly</t>
        </is>
      </c>
      <c r="F21" s="4" t="inlineStr">
        <is>
          <t>21056763_Jaunich_20211020173423.pdf</t>
        </is>
      </c>
    </row>
    <row r="22">
      <c r="A22" s="4" t="inlineStr">
        <is>
          <t>3</t>
        </is>
      </c>
      <c r="B22" s="4" t="inlineStr">
        <is>
          <t>High</t>
        </is>
      </c>
      <c r="C22" s="4" t="inlineStr">
        <is>
          <t>May occlude small to medium spores</t>
        </is>
      </c>
      <c r="D22" s="4" t="inlineStr">
        <is>
          <t>High</t>
        </is>
      </c>
      <c r="E22" s="4" t="inlineStr">
        <is>
          <t>Lower confidence</t>
        </is>
      </c>
      <c r="F22" s="4" t="inlineStr">
        <is>
          <t>21056763_Jaunich_20211020173423.pdf</t>
        </is>
      </c>
    </row>
    <row r="23">
      <c r="A23" s="4" t="inlineStr">
        <is>
          <t>3+</t>
        </is>
      </c>
      <c r="B23" s="4" t="inlineStr">
        <is>
          <t>Very high</t>
        </is>
      </c>
      <c r="C23" s="4" t="inlineStr">
        <is>
          <t>Will occlude spores</t>
        </is>
      </c>
      <c r="D23" s="4" t="inlineStr">
        <is>
          <t>Very high</t>
        </is>
      </c>
      <c r="E23" s="4" t="inlineStr">
        <is>
          <t>Strong confidence penalty</t>
        </is>
      </c>
      <c r="F23" s="4" t="inlineStr">
        <is>
          <t>21056763_Jaunich_20211020173423.pdf</t>
        </is>
      </c>
    </row>
    <row r="24">
      <c r="A24" s="4" t="inlineStr">
        <is>
          <t>4</t>
        </is>
      </c>
      <c r="B24" s="4" t="inlineStr">
        <is>
          <t>Overloaded</t>
        </is>
      </c>
      <c r="C24" s="4" t="inlineStr">
        <is>
          <t>Too much particulate to perform analysis</t>
        </is>
      </c>
      <c r="D24" s="4" t="inlineStr">
        <is>
          <t>Extreme</t>
        </is>
      </c>
      <c r="E24" s="4" t="inlineStr">
        <is>
          <t>Treat as unreadable / inconclusive</t>
        </is>
      </c>
      <c r="F24" s="4" t="inlineStr">
        <is>
          <t>21056763_Jaunich_20211020173423.pdf</t>
        </is>
      </c>
    </row>
    <row r="27">
      <c r="A27" s="1" t="inlineStr">
        <is>
          <t>Direct ID Evidence-of-Growth Scale</t>
        </is>
      </c>
    </row>
    <row r="28">
      <c r="A28" s="7" t="inlineStr">
        <is>
          <t>Estimated amount</t>
        </is>
      </c>
      <c r="B28" s="7" t="inlineStr">
        <is>
          <t>Growth indication</t>
        </is>
      </c>
      <c r="C28" s="7" t="inlineStr">
        <is>
          <t>Evidence on sample</t>
        </is>
      </c>
      <c r="D28" s="7" t="inlineStr">
        <is>
          <t>Suggested app wording</t>
        </is>
      </c>
      <c r="E28" s="7" t="inlineStr">
        <is>
          <t>Escalation posture</t>
        </is>
      </c>
      <c r="F28" s="7" t="inlineStr">
        <is>
          <t>Source file</t>
        </is>
      </c>
    </row>
    <row r="29">
      <c r="A29" s="4" t="inlineStr">
        <is>
          <t>Rare</t>
        </is>
      </c>
      <c r="B29" s="4" t="inlineStr">
        <is>
          <t>Not likely</t>
        </is>
      </c>
      <c r="C29" s="4" t="inlineStr">
        <is>
          <t>No associated mycelial fragments / conidiophores</t>
        </is>
      </c>
      <c r="D29" s="4" t="inlineStr">
        <is>
          <t>Trace evidence only; below clear contamination level</t>
        </is>
      </c>
      <c r="E29" s="4" t="inlineStr">
        <is>
          <t>Monitor / inspect if recurring</t>
        </is>
      </c>
      <c r="F29" s="4" t="inlineStr">
        <is>
          <t>21056763_Jaunich_20211020173423.pdf</t>
        </is>
      </c>
    </row>
    <row r="30">
      <c r="A30" s="4" t="inlineStr">
        <is>
          <t>Light</t>
        </is>
      </c>
      <c r="B30" s="4" t="inlineStr">
        <is>
          <t>Possible</t>
        </is>
      </c>
      <c r="C30" s="4" t="inlineStr">
        <is>
          <t>Some evidence, about 10–25% of tape covered</t>
        </is>
      </c>
      <c r="D30" s="4" t="inlineStr">
        <is>
          <t>Possible active growth</t>
        </is>
      </c>
      <c r="E30" s="4" t="inlineStr">
        <is>
          <t>Recommend closer inspection</t>
        </is>
      </c>
      <c r="F30" s="4" t="inlineStr">
        <is>
          <t>21056763_Jaunich_20211020173423.pdf</t>
        </is>
      </c>
    </row>
    <row r="31">
      <c r="A31" s="4" t="inlineStr">
        <is>
          <t>Moderate</t>
        </is>
      </c>
      <c r="B31" s="4" t="inlineStr">
        <is>
          <t>Probable</t>
        </is>
      </c>
      <c r="C31" s="4" t="inlineStr">
        <is>
          <t>Abundant evidence, about 25–50% of tape covered</t>
        </is>
      </c>
      <c r="D31" s="4" t="inlineStr">
        <is>
          <t>Probable active growth</t>
        </is>
      </c>
      <c r="E31" s="4" t="inlineStr">
        <is>
          <t>Professional inspection / remediation discussion</t>
        </is>
      </c>
      <c r="F31" s="4" t="inlineStr">
        <is>
          <t>21056763_Jaunich_20211020173423.pdf</t>
        </is>
      </c>
    </row>
    <row r="32">
      <c r="A32" s="4" t="inlineStr">
        <is>
          <t>Heavy</t>
        </is>
      </c>
      <c r="B32" s="4" t="inlineStr">
        <is>
          <t>Significant</t>
        </is>
      </c>
      <c r="C32" s="4" t="inlineStr">
        <is>
          <t>Throughout sample, about 50–100% covered</t>
        </is>
      </c>
      <c r="D32" s="4" t="inlineStr">
        <is>
          <t>Significant active growth likely</t>
        </is>
      </c>
      <c r="E32" s="4" t="inlineStr">
        <is>
          <t>Escalate strongly</t>
        </is>
      </c>
      <c r="F32" s="4" t="inlineStr">
        <is>
          <t>21056763_Jaunich_20211020173423.pdf</t>
        </is>
      </c>
    </row>
  </sheetData>
  <mergeCells count="4">
    <mergeCell ref="A2:F2"/>
    <mergeCell ref="A16:F16"/>
    <mergeCell ref="A1:F1"/>
    <mergeCell ref="A27:F27"/>
  </mergeCell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Home Health AI – Lab Sample Examples</t>
        </is>
      </c>
    </row>
    <row r="2">
      <c r="A2" s="2" t="inlineStr">
        <is>
          <t>Structured examples from uploaded SanAir and AEMTEK reports for AI QA, messaging tests, and baseline-vs-interior interpretation.</t>
        </is>
      </c>
    </row>
    <row r="4">
      <c r="A4" s="1" t="inlineStr">
        <is>
          <t>Air Sample Example Rows</t>
        </is>
      </c>
    </row>
    <row r="5">
      <c r="A5" s="7" t="inlineStr">
        <is>
          <t>sample_id</t>
        </is>
      </c>
      <c r="B5" s="7" t="inlineStr">
        <is>
          <t>sample_location</t>
        </is>
      </c>
      <c r="C5" s="7" t="inlineStr">
        <is>
          <t>sample_type</t>
        </is>
      </c>
      <c r="D5" s="7" t="inlineStr">
        <is>
          <t>volume_l</t>
        </is>
      </c>
      <c r="E5" s="7" t="inlineStr">
        <is>
          <t>background_density</t>
        </is>
      </c>
      <c r="F5" s="7" t="inlineStr">
        <is>
          <t>organism</t>
        </is>
      </c>
      <c r="G5" s="7" t="inlineStr">
        <is>
          <t>raw_count</t>
        </is>
      </c>
      <c r="H5" s="7" t="inlineStr">
        <is>
          <t>count_per_m3</t>
        </is>
      </c>
      <c r="I5" s="7" t="inlineStr">
        <is>
          <t>percent_of_total</t>
        </is>
      </c>
      <c r="J5" s="7" t="inlineStr">
        <is>
          <t>ai_interpretation_note</t>
        </is>
      </c>
    </row>
    <row r="6">
      <c r="A6" s="4" t="inlineStr">
        <is>
          <t>21056763-001</t>
        </is>
      </c>
      <c r="B6" s="4" t="inlineStr">
        <is>
          <t>Exterior</t>
        </is>
      </c>
      <c r="C6" s="4" t="inlineStr">
        <is>
          <t>Air-O-Cell</t>
        </is>
      </c>
      <c r="D6" s="4" t="n">
        <v>75</v>
      </c>
      <c r="E6" s="4" t="inlineStr">
        <is>
          <t>2</t>
        </is>
      </c>
      <c r="F6" s="4" t="inlineStr">
        <is>
          <t>Alternaria species</t>
        </is>
      </c>
      <c r="G6" s="4" t="n">
        <v>2</v>
      </c>
      <c r="H6" s="4" t="n">
        <v>27</v>
      </c>
      <c r="I6" s="4" t="inlineStr">
        <is>
          <t>&lt;1%</t>
        </is>
      </c>
      <c r="J6" s="4" t="inlineStr">
        <is>
          <t>Exterior baseline outdoor-type detection</t>
        </is>
      </c>
    </row>
    <row r="7">
      <c r="A7" s="4" t="inlineStr">
        <is>
          <t>21056763-001</t>
        </is>
      </c>
      <c r="B7" s="4" t="inlineStr">
        <is>
          <t>Exterior</t>
        </is>
      </c>
      <c r="C7" s="4" t="inlineStr">
        <is>
          <t>Air-O-Cell</t>
        </is>
      </c>
      <c r="D7" s="4" t="n">
        <v>75</v>
      </c>
      <c r="E7" s="4" t="inlineStr">
        <is>
          <t>2</t>
        </is>
      </c>
      <c r="F7" s="4" t="inlineStr">
        <is>
          <t>Ascospores</t>
        </is>
      </c>
      <c r="G7" s="4" t="n">
        <v>882</v>
      </c>
      <c r="H7" s="4" t="n">
        <v>11760</v>
      </c>
      <c r="I7" s="4" t="inlineStr">
        <is>
          <t>99%</t>
        </is>
      </c>
      <c r="J7" s="4" t="inlineStr">
        <is>
          <t>Exterior baseline dominated by ascospores</t>
        </is>
      </c>
    </row>
    <row r="8">
      <c r="A8" s="4" t="inlineStr">
        <is>
          <t>21056763-001</t>
        </is>
      </c>
      <c r="B8" s="4" t="inlineStr">
        <is>
          <t>Exterior</t>
        </is>
      </c>
      <c r="C8" s="4" t="inlineStr">
        <is>
          <t>Air-O-Cell</t>
        </is>
      </c>
      <c r="D8" s="4" t="n">
        <v>75</v>
      </c>
      <c r="E8" s="4" t="inlineStr">
        <is>
          <t>2</t>
        </is>
      </c>
      <c r="F8" s="4" t="inlineStr">
        <is>
          <t>Chaetomium species</t>
        </is>
      </c>
      <c r="G8" s="4" t="n">
        <v>2</v>
      </c>
      <c r="H8" s="4" t="n">
        <v>27</v>
      </c>
      <c r="I8" s="4" t="inlineStr">
        <is>
          <t>&lt;1%</t>
        </is>
      </c>
      <c r="J8" s="4" t="inlineStr">
        <is>
          <t>Low-count water-damage indicator outdoors</t>
        </is>
      </c>
    </row>
    <row r="9">
      <c r="A9" s="4" t="inlineStr">
        <is>
          <t>21056763-001</t>
        </is>
      </c>
      <c r="B9" s="4" t="inlineStr">
        <is>
          <t>Exterior</t>
        </is>
      </c>
      <c r="C9" s="4" t="inlineStr">
        <is>
          <t>Air-O-Cell</t>
        </is>
      </c>
      <c r="D9" s="4" t="n">
        <v>75</v>
      </c>
      <c r="E9" s="4" t="inlineStr">
        <is>
          <t>2</t>
        </is>
      </c>
      <c r="F9" s="4" t="inlineStr">
        <is>
          <t>Cladosporium species</t>
        </is>
      </c>
      <c r="G9" s="4" t="n">
        <v>5</v>
      </c>
      <c r="H9" s="4" t="n">
        <v>67</v>
      </c>
      <c r="I9" s="4" t="inlineStr">
        <is>
          <t>&lt;1%</t>
        </is>
      </c>
      <c r="J9" s="4" t="inlineStr">
        <is>
          <t>Common outdoor allergen baseline</t>
        </is>
      </c>
    </row>
    <row r="10">
      <c r="A10" s="4" t="inlineStr">
        <is>
          <t>21056763-001</t>
        </is>
      </c>
      <c r="B10" s="4" t="inlineStr">
        <is>
          <t>Exterior</t>
        </is>
      </c>
      <c r="C10" s="4" t="inlineStr">
        <is>
          <t>Air-O-Cell</t>
        </is>
      </c>
      <c r="D10" s="4" t="n">
        <v>75</v>
      </c>
      <c r="E10" s="4" t="inlineStr">
        <is>
          <t>2</t>
        </is>
      </c>
      <c r="F10" s="4" t="inlineStr">
        <is>
          <t>Non-specified spore</t>
        </is>
      </c>
      <c r="G10" s="4" t="n">
        <v>1</v>
      </c>
      <c r="H10" s="4" t="n">
        <v>13</v>
      </c>
      <c r="I10" s="4" t="inlineStr">
        <is>
          <t>&lt;1%</t>
        </is>
      </c>
      <c r="J10" s="4" t="inlineStr">
        <is>
          <t>Unspecified trace morphology</t>
        </is>
      </c>
    </row>
    <row r="11">
      <c r="A11" s="4" t="inlineStr">
        <is>
          <t>21056763-002</t>
        </is>
      </c>
      <c r="B11" s="4" t="inlineStr">
        <is>
          <t>Entry</t>
        </is>
      </c>
      <c r="C11" s="4" t="inlineStr">
        <is>
          <t>Air-O-Cell</t>
        </is>
      </c>
      <c r="D11" s="4" t="n">
        <v>75</v>
      </c>
      <c r="E11" s="4" t="inlineStr">
        <is>
          <t>3+</t>
        </is>
      </c>
      <c r="F11" s="4" t="inlineStr">
        <is>
          <t>Alternaria species</t>
        </is>
      </c>
      <c r="G11" s="4" t="n">
        <v>1</v>
      </c>
      <c r="H11" s="4" t="n">
        <v>13</v>
      </c>
      <c r="I11" s="4" t="inlineStr">
        <is>
          <t>&lt;1%</t>
        </is>
      </c>
      <c r="J11" s="4" t="inlineStr">
        <is>
          <t>Trace indoor alternaria</t>
        </is>
      </c>
    </row>
    <row r="12">
      <c r="A12" s="4" t="inlineStr">
        <is>
          <t>21056763-002</t>
        </is>
      </c>
      <c r="B12" s="4" t="inlineStr">
        <is>
          <t>Entry</t>
        </is>
      </c>
      <c r="C12" s="4" t="inlineStr">
        <is>
          <t>Air-O-Cell</t>
        </is>
      </c>
      <c r="D12" s="4" t="n">
        <v>75</v>
      </c>
      <c r="E12" s="4" t="inlineStr">
        <is>
          <t>3+</t>
        </is>
      </c>
      <c r="F12" s="4" t="inlineStr">
        <is>
          <t>Ascospores</t>
        </is>
      </c>
      <c r="G12" s="4" t="n">
        <v>1</v>
      </c>
      <c r="H12" s="4" t="n">
        <v>13</v>
      </c>
      <c r="I12" s="4" t="inlineStr">
        <is>
          <t>&lt;1%</t>
        </is>
      </c>
      <c r="J12" s="4" t="inlineStr">
        <is>
          <t>Very low ascospores indoors</t>
        </is>
      </c>
    </row>
    <row r="13">
      <c r="A13" s="4" t="inlineStr">
        <is>
          <t>21056763-002</t>
        </is>
      </c>
      <c r="B13" s="4" t="inlineStr">
        <is>
          <t>Entry</t>
        </is>
      </c>
      <c r="C13" s="4" t="inlineStr">
        <is>
          <t>Air-O-Cell</t>
        </is>
      </c>
      <c r="D13" s="4" t="n">
        <v>75</v>
      </c>
      <c r="E13" s="4" t="inlineStr">
        <is>
          <t>3+</t>
        </is>
      </c>
      <c r="F13" s="4" t="inlineStr">
        <is>
          <t>Basidiospores</t>
        </is>
      </c>
      <c r="G13" s="4" t="inlineStr">
        <is>
          <t>&gt;12000</t>
        </is>
      </c>
      <c r="H13" s="4" t="inlineStr">
        <is>
          <t>&gt;160000</t>
        </is>
      </c>
      <c r="I13" s="4" t="inlineStr">
        <is>
          <t>&gt;99%</t>
        </is>
      </c>
      <c r="J13" s="4" t="inlineStr">
        <is>
          <t>Heavy indoor basidiospore dominance with very high background</t>
        </is>
      </c>
    </row>
    <row r="14">
      <c r="A14" s="4" t="inlineStr">
        <is>
          <t>21056763-002</t>
        </is>
      </c>
      <c r="B14" s="4" t="inlineStr">
        <is>
          <t>Entry</t>
        </is>
      </c>
      <c r="C14" s="4" t="inlineStr">
        <is>
          <t>Air-O-Cell</t>
        </is>
      </c>
      <c r="D14" s="4" t="n">
        <v>75</v>
      </c>
      <c r="E14" s="4" t="inlineStr">
        <is>
          <t>3+</t>
        </is>
      </c>
      <c r="F14" s="4" t="inlineStr">
        <is>
          <t>Cladosporium species</t>
        </is>
      </c>
      <c r="G14" s="4" t="n">
        <v>1</v>
      </c>
      <c r="H14" s="4" t="n">
        <v>13</v>
      </c>
      <c r="I14" s="4" t="inlineStr">
        <is>
          <t>&lt;1%</t>
        </is>
      </c>
      <c r="J14" s="4" t="inlineStr">
        <is>
          <t>Trace cladosporium indoors</t>
        </is>
      </c>
    </row>
    <row r="15">
      <c r="A15" s="4" t="inlineStr">
        <is>
          <t>21056763-003</t>
        </is>
      </c>
      <c r="B15" s="4" t="inlineStr">
        <is>
          <t>TV Area</t>
        </is>
      </c>
      <c r="C15" s="4" t="inlineStr">
        <is>
          <t>Air-O-Cell</t>
        </is>
      </c>
      <c r="D15" s="4" t="n">
        <v>75</v>
      </c>
      <c r="E15" s="4" t="inlineStr">
        <is>
          <t>3+</t>
        </is>
      </c>
      <c r="F15" s="4" t="inlineStr">
        <is>
          <t>Basidiospores</t>
        </is>
      </c>
      <c r="G15" s="4" t="inlineStr">
        <is>
          <t>&gt;12000</t>
        </is>
      </c>
      <c r="H15" s="4" t="inlineStr">
        <is>
          <t>&gt;160000</t>
        </is>
      </c>
      <c r="I15" s="4" t="inlineStr">
        <is>
          <t>&gt;99%</t>
        </is>
      </c>
      <c r="J15" s="4" t="inlineStr">
        <is>
          <t>Heavy indoor basidiospore dominance with very high background</t>
        </is>
      </c>
    </row>
    <row r="18">
      <c r="A18" s="1" t="inlineStr">
        <is>
          <t>Direct ID Example Rows</t>
        </is>
      </c>
    </row>
    <row r="19">
      <c r="A19" s="7" t="inlineStr">
        <is>
          <t>sample_id</t>
        </is>
      </c>
      <c r="B19" s="7" t="inlineStr">
        <is>
          <t>sample_location</t>
        </is>
      </c>
      <c r="C19" s="7" t="inlineStr">
        <is>
          <t>sample_material_type</t>
        </is>
      </c>
      <c r="D19" s="7" t="inlineStr">
        <is>
          <t>organism_group</t>
        </is>
      </c>
      <c r="E19" s="7" t="inlineStr">
        <is>
          <t>estimated_amount</t>
        </is>
      </c>
      <c r="F19" s="7" t="inlineStr">
        <is>
          <t>growth_indication</t>
        </is>
      </c>
      <c r="G19" s="7" t="inlineStr">
        <is>
          <t>evidence_note</t>
        </is>
      </c>
      <c r="H19" s="7" t="inlineStr">
        <is>
          <t>ai_interpretation_note</t>
        </is>
      </c>
      <c r="I19" s="7" t="inlineStr">
        <is>
          <t>source_file</t>
        </is>
      </c>
      <c r="J19" s="7" t="inlineStr">
        <is>
          <t>project_name</t>
        </is>
      </c>
    </row>
    <row r="20">
      <c r="A20" s="4" t="inlineStr">
        <is>
          <t>21056763-004</t>
        </is>
      </c>
      <c r="B20" s="4" t="inlineStr">
        <is>
          <t>Exterior Side</t>
        </is>
      </c>
      <c r="C20" s="4" t="inlineStr">
        <is>
          <t>Bulk material</t>
        </is>
      </c>
      <c r="D20" s="4" t="inlineStr">
        <is>
          <t>Aspergillus/Penicillium</t>
        </is>
      </c>
      <c r="E20" s="4" t="inlineStr">
        <is>
          <t>Rare</t>
        </is>
      </c>
      <c r="F20" s="4" t="inlineStr">
        <is>
          <t>Not likely</t>
        </is>
      </c>
      <c r="G20" s="4" t="inlineStr">
        <is>
          <t>No clear mycelial / conidiophore evidence threshold</t>
        </is>
      </c>
      <c r="H20" s="4" t="inlineStr">
        <is>
          <t>Trace fungal evidence on bulk material</t>
        </is>
      </c>
      <c r="I20" s="4" t="inlineStr">
        <is>
          <t>21056763_Jaunich_20211020173423.pdf</t>
        </is>
      </c>
      <c r="J20" s="4" t="inlineStr">
        <is>
          <t>Jaunich</t>
        </is>
      </c>
    </row>
    <row r="21">
      <c r="A21" s="4" t="inlineStr">
        <is>
          <t>21056763-004</t>
        </is>
      </c>
      <c r="B21" s="4" t="inlineStr">
        <is>
          <t>Exterior Side</t>
        </is>
      </c>
      <c r="C21" s="4" t="inlineStr">
        <is>
          <t>Bulk material</t>
        </is>
      </c>
      <c r="D21" s="4" t="inlineStr">
        <is>
          <t>Basidiospores</t>
        </is>
      </c>
      <c r="E21" s="4" t="inlineStr">
        <is>
          <t>Moderate</t>
        </is>
      </c>
      <c r="F21" s="4" t="inlineStr">
        <is>
          <t>Probable</t>
        </is>
      </c>
      <c r="G21" s="4" t="inlineStr">
        <is>
          <t>Abundant evidence range</t>
        </is>
      </c>
      <c r="H21" s="4" t="inlineStr">
        <is>
          <t>Probable growth evidence on sampled material</t>
        </is>
      </c>
      <c r="I21" s="4" t="inlineStr">
        <is>
          <t>21056763_Jaunich_20211020173423.pdf</t>
        </is>
      </c>
      <c r="J21" s="4" t="inlineStr">
        <is>
          <t>Jaunich</t>
        </is>
      </c>
    </row>
    <row r="22">
      <c r="A22" s="4" t="inlineStr">
        <is>
          <t>21056763-005</t>
        </is>
      </c>
      <c r="B22" s="4" t="inlineStr">
        <is>
          <t>Wall At Beam</t>
        </is>
      </c>
      <c r="C22" s="4" t="inlineStr">
        <is>
          <t>Bulk material</t>
        </is>
      </c>
      <c r="D22" s="4" t="inlineStr">
        <is>
          <t>Aspergillus/Penicillium</t>
        </is>
      </c>
      <c r="E22" s="4" t="inlineStr">
        <is>
          <t>Light</t>
        </is>
      </c>
      <c r="F22" s="4" t="inlineStr">
        <is>
          <t>Possible</t>
        </is>
      </c>
      <c r="G22" s="4" t="inlineStr">
        <is>
          <t>Some evidence range</t>
        </is>
      </c>
      <c r="H22" s="4" t="inlineStr">
        <is>
          <t>Possible growth on bulk sample from beam area</t>
        </is>
      </c>
      <c r="I22" s="4" t="inlineStr">
        <is>
          <t>21056763_Jaunich_20211020173423.pdf</t>
        </is>
      </c>
      <c r="J22" s="4" t="inlineStr">
        <is>
          <t>Jaunich</t>
        </is>
      </c>
    </row>
    <row r="23">
      <c r="A23" s="4" t="inlineStr">
        <is>
          <t>21056763-005</t>
        </is>
      </c>
      <c r="B23" s="4" t="inlineStr">
        <is>
          <t>Wall At Beam</t>
        </is>
      </c>
      <c r="C23" s="4" t="inlineStr">
        <is>
          <t>Bulk material</t>
        </is>
      </c>
      <c r="D23" s="4" t="inlineStr">
        <is>
          <t>Basidiospores</t>
        </is>
      </c>
      <c r="E23" s="4" t="inlineStr">
        <is>
          <t>Light</t>
        </is>
      </c>
      <c r="F23" s="4" t="inlineStr">
        <is>
          <t>Possible</t>
        </is>
      </c>
      <c r="G23" s="4" t="inlineStr">
        <is>
          <t>Some evidence range</t>
        </is>
      </c>
      <c r="H23" s="4" t="inlineStr">
        <is>
          <t>Possible growth on bulk sample from beam area</t>
        </is>
      </c>
      <c r="I23" s="4" t="inlineStr">
        <is>
          <t>21056763_Jaunich_20211020173423.pdf</t>
        </is>
      </c>
      <c r="J23" s="4" t="inlineStr">
        <is>
          <t>Jaunich</t>
        </is>
      </c>
    </row>
    <row r="24">
      <c r="A24" s="4" t="inlineStr">
        <is>
          <t>21056763-006</t>
        </is>
      </c>
      <c r="B24" s="4" t="inlineStr">
        <is>
          <t>Beam Inside</t>
        </is>
      </c>
      <c r="C24" s="4" t="inlineStr">
        <is>
          <t>Bulk material</t>
        </is>
      </c>
      <c r="D24" s="4" t="inlineStr">
        <is>
          <t>Basidiospores</t>
        </is>
      </c>
      <c r="E24" s="4" t="inlineStr">
        <is>
          <t>Heavy</t>
        </is>
      </c>
      <c r="F24" s="4" t="inlineStr">
        <is>
          <t>Significant</t>
        </is>
      </c>
      <c r="G24" s="4" t="inlineStr">
        <is>
          <t>Throughout sample</t>
        </is>
      </c>
      <c r="H24" s="4" t="inlineStr">
        <is>
          <t>Significant growth evidence on beam sample</t>
        </is>
      </c>
      <c r="I24" s="4" t="inlineStr">
        <is>
          <t>21056763_Jaunich_20211020173423.pdf</t>
        </is>
      </c>
      <c r="J24" s="4" t="inlineStr">
        <is>
          <t>Jaunich</t>
        </is>
      </c>
    </row>
    <row r="25">
      <c r="A25" s="4" t="inlineStr">
        <is>
          <t>21056763-007</t>
        </is>
      </c>
      <c r="B25" s="4" t="inlineStr">
        <is>
          <t>Window</t>
        </is>
      </c>
      <c r="C25" s="4" t="inlineStr">
        <is>
          <t>Bulk material</t>
        </is>
      </c>
      <c r="D25" s="4" t="inlineStr">
        <is>
          <t>Basidiospores</t>
        </is>
      </c>
      <c r="E25" s="4" t="inlineStr">
        <is>
          <t>Moderate</t>
        </is>
      </c>
      <c r="F25" s="4" t="inlineStr">
        <is>
          <t>Probable</t>
        </is>
      </c>
      <c r="G25" s="4" t="inlineStr">
        <is>
          <t>Abundant evidence range</t>
        </is>
      </c>
      <c r="H25" s="4" t="inlineStr">
        <is>
          <t>Probable growth evidence on window sample</t>
        </is>
      </c>
      <c r="I25" s="4" t="inlineStr">
        <is>
          <t>21056763_Jaunich_20211020173423.pdf</t>
        </is>
      </c>
      <c r="J25" s="4" t="inlineStr">
        <is>
          <t>Jaunich</t>
        </is>
      </c>
    </row>
    <row r="26">
      <c r="A26" s="4" t="inlineStr">
        <is>
          <t>21056763-007</t>
        </is>
      </c>
      <c r="B26" s="4" t="inlineStr">
        <is>
          <t>Window</t>
        </is>
      </c>
      <c r="C26" s="4" t="inlineStr">
        <is>
          <t>Bulk material</t>
        </is>
      </c>
      <c r="D26" s="4" t="inlineStr">
        <is>
          <t>Cladosporium species</t>
        </is>
      </c>
      <c r="E26" s="4" t="inlineStr">
        <is>
          <t>Rare</t>
        </is>
      </c>
      <c r="F26" s="4" t="inlineStr">
        <is>
          <t>Not likely</t>
        </is>
      </c>
      <c r="G26" s="4" t="inlineStr">
        <is>
          <t>No clear mycelial / conidiophore evidence threshold</t>
        </is>
      </c>
      <c r="H26" s="4" t="inlineStr">
        <is>
          <t>Trace cladosporium evidence on window sample</t>
        </is>
      </c>
      <c r="I26" s="4" t="inlineStr">
        <is>
          <t>21056763_Jaunich_20211020173423.pdf</t>
        </is>
      </c>
      <c r="J26" s="4" t="inlineStr">
        <is>
          <t>Jaunich</t>
        </is>
      </c>
    </row>
    <row r="28">
      <c r="A28" s="10" t="inlineStr">
        <is>
          <t>AEMTEK Air Sample Example Rows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31" t="inlineStr">
        <is>
          <t>sample_id</t>
        </is>
      </c>
      <c r="B29" s="31" t="inlineStr">
        <is>
          <t>sample_location</t>
        </is>
      </c>
      <c r="C29" s="31" t="inlineStr">
        <is>
          <t>sample_type</t>
        </is>
      </c>
      <c r="D29" s="31" t="inlineStr">
        <is>
          <t>volume_l</t>
        </is>
      </c>
      <c r="E29" s="31" t="inlineStr">
        <is>
          <t>background_density</t>
        </is>
      </c>
      <c r="F29" s="31" t="inlineStr">
        <is>
          <t>organism</t>
        </is>
      </c>
      <c r="G29" s="31" t="inlineStr">
        <is>
          <t>raw_count</t>
        </is>
      </c>
      <c r="H29" s="31" t="inlineStr">
        <is>
          <t>count_per_m3</t>
        </is>
      </c>
      <c r="I29" s="31" t="inlineStr">
        <is>
          <t>percent_of_total</t>
        </is>
      </c>
      <c r="J29" s="31" t="inlineStr">
        <is>
          <t>ai_interpretation_note</t>
        </is>
      </c>
    </row>
    <row r="30">
      <c r="A30" t="inlineStr">
        <is>
          <t>23671241</t>
        </is>
      </c>
      <c r="B30" t="inlineStr">
        <is>
          <t>Downstairs Bedroom</t>
        </is>
      </c>
      <c r="C30" t="inlineStr">
        <is>
          <t>Spore Slit Impaction Cassette</t>
        </is>
      </c>
      <c r="D30" t="n">
        <v>75</v>
      </c>
      <c r="E30" t="inlineStr">
        <is>
          <t>26-50%</t>
        </is>
      </c>
      <c r="F30" t="inlineStr">
        <is>
          <t>Aspergillus/Penicillium-like</t>
        </is>
      </c>
      <c r="G30" t="n">
        <v>7</v>
      </c>
      <c r="H30" t="n">
        <v>91</v>
      </c>
      <c r="I30" t="inlineStr">
        <is>
          <t>44%</t>
        </is>
      </c>
      <c r="J30" t="inlineStr">
        <is>
          <t>Indoor dominant genus but still below total outdoor load</t>
        </is>
      </c>
    </row>
    <row r="31">
      <c r="A31" t="inlineStr">
        <is>
          <t>23671140</t>
        </is>
      </c>
      <c r="B31" t="inlineStr">
        <is>
          <t>Downstairs Bathroom</t>
        </is>
      </c>
      <c r="C31" t="inlineStr">
        <is>
          <t>Spore Slit Impaction Cassette</t>
        </is>
      </c>
      <c r="D31" t="n">
        <v>75</v>
      </c>
      <c r="E31" t="inlineStr">
        <is>
          <t>51-75%</t>
        </is>
      </c>
      <c r="F31" t="inlineStr">
        <is>
          <t>Aspergillus/Penicillium-like</t>
        </is>
      </c>
      <c r="G31" t="n">
        <v>19</v>
      </c>
      <c r="H31" t="n">
        <v>247</v>
      </c>
      <c r="I31" t="inlineStr">
        <is>
          <t>25%</t>
        </is>
      </c>
      <c r="J31" t="inlineStr">
        <is>
          <t>Bathroom A/P-like is higher than outdoor A/P-like and merits concern</t>
        </is>
      </c>
    </row>
    <row r="32">
      <c r="A32" t="inlineStr">
        <is>
          <t>23671140</t>
        </is>
      </c>
      <c r="B32" t="inlineStr">
        <is>
          <t>Downstairs Bathroom</t>
        </is>
      </c>
      <c r="C32" t="inlineStr">
        <is>
          <t>Spore Slit Impaction Cassette</t>
        </is>
      </c>
      <c r="D32" t="n">
        <v>75</v>
      </c>
      <c r="E32" t="inlineStr">
        <is>
          <t>51-75%</t>
        </is>
      </c>
      <c r="F32" t="inlineStr">
        <is>
          <t>Stachybotrys</t>
        </is>
      </c>
      <c r="G32" t="n">
        <v>2</v>
      </c>
      <c r="H32" t="n">
        <v>26</v>
      </c>
      <c r="I32" t="inlineStr">
        <is>
          <t>3%</t>
        </is>
      </c>
      <c r="J32" t="inlineStr">
        <is>
          <t>Even low Stachybotrys counts indoors should elevate caution</t>
        </is>
      </c>
    </row>
    <row r="33">
      <c r="A33" t="inlineStr">
        <is>
          <t>23671229</t>
        </is>
      </c>
      <c r="B33" t="inlineStr">
        <is>
          <t>Outside (ambient)</t>
        </is>
      </c>
      <c r="C33" t="inlineStr">
        <is>
          <t>Spore Slit Impaction Cassette</t>
        </is>
      </c>
      <c r="D33" t="n">
        <v>75</v>
      </c>
      <c r="E33" t="inlineStr">
        <is>
          <t>51-75%</t>
        </is>
      </c>
      <c r="F33" t="inlineStr">
        <is>
          <t>Cladosporium</t>
        </is>
      </c>
      <c r="G33" t="n">
        <v>39</v>
      </c>
      <c r="H33" t="n">
        <v>507</v>
      </c>
      <c r="I33" t="inlineStr">
        <is>
          <t>22%</t>
        </is>
      </c>
      <c r="J33" t="inlineStr">
        <is>
          <t>Outdoor baseline reference</t>
        </is>
      </c>
    </row>
  </sheetData>
  <mergeCells count="4">
    <mergeCell ref="A1:J1"/>
    <mergeCell ref="A4:J4"/>
    <mergeCell ref="A18:J18"/>
    <mergeCell ref="A2:J2"/>
  </mergeCell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25" customWidth="1" min="4" max="4"/>
    <col width="28" customWidth="1" min="5" max="5"/>
    <col width="21" customWidth="1" min="6" max="6"/>
    <col width="28" customWidth="1" min="7" max="7"/>
    <col width="24" customWidth="1" min="8" max="8"/>
    <col width="21" customWidth="1" min="9" max="9"/>
    <col width="18" customWidth="1" min="10" max="10"/>
    <col width="22" customWidth="1" min="11" max="11"/>
    <col width="28" customWidth="1" min="12" max="12"/>
  </cols>
  <sheetData>
    <row r="1">
      <c r="A1" s="25" t="inlineStr">
        <is>
          <t>Home Health AI – Control Center</t>
        </is>
      </c>
    </row>
    <row r="2">
      <c r="A2" s="32" t="inlineStr">
        <is>
          <t>Editable scenarios for testing the scoring engine and app logic.</t>
        </is>
      </c>
    </row>
    <row r="4">
      <c r="A4" s="33" t="inlineStr">
        <is>
          <t>scenario_id</t>
        </is>
      </c>
      <c r="B4" s="33" t="inlineStr">
        <is>
          <t>scenario_name</t>
        </is>
      </c>
      <c r="C4" s="33" t="inlineStr">
        <is>
          <t>indoor_total_spores_m3</t>
        </is>
      </c>
      <c r="D4" s="33" t="inlineStr">
        <is>
          <t>outdoor_total_spores_m3</t>
        </is>
      </c>
      <c r="E4" s="33" t="inlineStr">
        <is>
          <t>dominant_group</t>
        </is>
      </c>
      <c r="F4" s="33" t="inlineStr">
        <is>
          <t>marker_mold_present</t>
        </is>
      </c>
      <c r="G4" s="33" t="inlineStr">
        <is>
          <t>mycotoxin_producer_present</t>
        </is>
      </c>
      <c r="H4" s="33" t="inlineStr">
        <is>
          <t>visible_growth_present</t>
        </is>
      </c>
      <c r="I4" s="33" t="inlineStr">
        <is>
          <t>porous_material_wet</t>
        </is>
      </c>
      <c r="J4" s="33" t="inlineStr">
        <is>
          <t>humidity_percent</t>
        </is>
      </c>
      <c r="K4" s="33" t="inlineStr">
        <is>
          <t>occupant_sensitivity</t>
        </is>
      </c>
      <c r="L4" s="33" t="inlineStr">
        <is>
          <t>recommended_action_target</t>
        </is>
      </c>
    </row>
    <row r="5">
      <c r="A5" t="inlineStr">
        <is>
          <t>SCN-001</t>
        </is>
      </c>
      <c r="B5" t="inlineStr">
        <is>
          <t>Clean baseline interior</t>
        </is>
      </c>
      <c r="C5" s="34" t="n">
        <v>220</v>
      </c>
      <c r="D5" s="34" t="n">
        <v>1800</v>
      </c>
      <c r="E5" t="inlineStr">
        <is>
          <t>Cladosporium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48</v>
      </c>
      <c r="K5" t="inlineStr">
        <is>
          <t>Standard</t>
        </is>
      </c>
      <c r="L5" t="inlineStr">
        <is>
          <t>Monitor / educate</t>
        </is>
      </c>
    </row>
    <row r="6">
      <c r="A6" t="inlineStr">
        <is>
          <t>SCN-002</t>
        </is>
      </c>
      <c r="B6" t="inlineStr">
        <is>
          <t>Possible bathroom amplification</t>
        </is>
      </c>
      <c r="C6" s="34" t="n">
        <v>988</v>
      </c>
      <c r="D6" s="34" t="n">
        <v>2314</v>
      </c>
      <c r="E6" t="inlineStr">
        <is>
          <t>Aspergillus/Penicillium-like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n">
        <v>68</v>
      </c>
      <c r="K6" t="inlineStr">
        <is>
          <t>Sensitive</t>
        </is>
      </c>
      <c r="L6" t="inlineStr">
        <is>
          <t>Professional inspection</t>
        </is>
      </c>
    </row>
    <row r="7">
      <c r="A7" t="inlineStr">
        <is>
          <t>SCN-003</t>
        </is>
      </c>
      <c r="B7" t="inlineStr">
        <is>
          <t>High concern water-damage pattern</t>
        </is>
      </c>
      <c r="C7" s="34" t="n">
        <v>16053</v>
      </c>
      <c r="D7" s="34" t="n">
        <v>11893</v>
      </c>
      <c r="E7" t="inlineStr">
        <is>
          <t>Basidiospores + water-damage indicators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n">
        <v>75</v>
      </c>
      <c r="K7" t="inlineStr">
        <is>
          <t>Sensitive</t>
        </is>
      </c>
      <c r="L7" t="inlineStr">
        <is>
          <t>Contain + inspect</t>
        </is>
      </c>
    </row>
    <row r="8">
      <c r="A8" t="inlineStr">
        <is>
          <t>SCN-004</t>
        </is>
      </c>
      <c r="B8" t="inlineStr">
        <is>
          <t>Humidity-driven but low visible concern</t>
        </is>
      </c>
      <c r="C8" s="34" t="n">
        <v>520</v>
      </c>
      <c r="D8" s="34" t="n">
        <v>1100</v>
      </c>
      <c r="E8" t="inlineStr">
        <is>
          <t>Cladosporium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61</v>
      </c>
      <c r="K8" t="inlineStr">
        <is>
          <t>Standard</t>
        </is>
      </c>
      <c r="L8" t="inlineStr">
        <is>
          <t>Dry / monitor</t>
        </is>
      </c>
    </row>
    <row r="9">
      <c r="A9" t="inlineStr">
        <is>
          <t>SCN-005</t>
        </is>
      </c>
      <c r="B9" t="inlineStr">
        <is>
          <t>Questionable photo-only colony</t>
        </is>
      </c>
      <c r="C9" s="34" t="n">
        <v>0</v>
      </c>
      <c r="D9" s="34" t="n">
        <v>0</v>
      </c>
      <c r="E9" t="inlineStr">
        <is>
          <t>Unknown</t>
        </is>
      </c>
      <c r="F9" t="inlineStr">
        <is>
          <t>No</t>
        </is>
      </c>
      <c r="G9" t="inlineStr">
        <is>
          <t>Unknown</t>
        </is>
      </c>
      <c r="H9" t="inlineStr">
        <is>
          <t>Yes</t>
        </is>
      </c>
      <c r="I9" t="inlineStr">
        <is>
          <t>Unknown</t>
        </is>
      </c>
      <c r="J9" t="n">
        <v>65</v>
      </c>
      <c r="K9" t="inlineStr">
        <is>
          <t>Sensitive</t>
        </is>
      </c>
      <c r="L9" t="inlineStr">
        <is>
          <t>Photo QA / schedule inspection</t>
        </is>
      </c>
    </row>
  </sheetData>
  <autoFilter ref="A4:L9"/>
  <mergeCells count="2">
    <mergeCell ref="A2:L2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21" customWidth="1" min="4" max="4"/>
    <col width="19" customWidth="1" min="5" max="5"/>
    <col width="30" customWidth="1" min="6" max="6"/>
    <col width="14" customWidth="1" min="7" max="7"/>
    <col width="23" customWidth="1" min="8" max="8"/>
    <col width="15" customWidth="1" min="9" max="9"/>
    <col width="18" customWidth="1" min="10" max="10"/>
    <col width="30" customWidth="1" min="11" max="11"/>
    <col width="11" customWidth="1" min="12" max="12"/>
    <col width="15" customWidth="1" min="13" max="13"/>
    <col width="18" customWidth="1" min="14" max="14"/>
    <col width="25" customWidth="1" min="15" max="15"/>
    <col width="24" customWidth="1" min="16" max="16"/>
    <col width="24" customWidth="1" min="17" max="17"/>
    <col width="30" customWidth="1" min="18" max="18"/>
    <col width="30" customWidth="1" min="19" max="19"/>
    <col width="30" customWidth="1" min="20" max="20"/>
  </cols>
  <sheetData>
    <row r="1">
      <c r="A1" s="25" t="inlineStr">
        <is>
          <t>Home Health AI – Real Lab Data Training</t>
        </is>
      </c>
    </row>
    <row r="2">
      <c r="A2" s="32" t="inlineStr">
        <is>
          <t>Normalized rows from uploaded SanAir and AEMTEK reports for model calibration and QA.</t>
        </is>
      </c>
    </row>
    <row r="4">
      <c r="A4" s="31" t="inlineStr">
        <is>
          <t>source_report</t>
        </is>
      </c>
      <c r="B4" s="31" t="inlineStr">
        <is>
          <t>report_id</t>
        </is>
      </c>
      <c r="C4" s="31" t="inlineStr">
        <is>
          <t>sample_id</t>
        </is>
      </c>
      <c r="D4" s="31" t="inlineStr">
        <is>
          <t>sample_location</t>
        </is>
      </c>
      <c r="E4" s="31" t="inlineStr">
        <is>
          <t>indoor_or_outdoor</t>
        </is>
      </c>
      <c r="F4" s="31" t="inlineStr">
        <is>
          <t>sample_method</t>
        </is>
      </c>
      <c r="G4" s="31" t="inlineStr">
        <is>
          <t>air_volume_l</t>
        </is>
      </c>
      <c r="H4" s="31" t="inlineStr">
        <is>
          <t>background_or_density</t>
        </is>
      </c>
      <c r="I4" s="31" t="inlineStr">
        <is>
          <t>temperature_f</t>
        </is>
      </c>
      <c r="J4" s="31" t="inlineStr">
        <is>
          <t>humidity_percent</t>
        </is>
      </c>
      <c r="K4" s="31" t="inlineStr">
        <is>
          <t>spore_type</t>
        </is>
      </c>
      <c r="L4" s="31" t="inlineStr">
        <is>
          <t>raw_count</t>
        </is>
      </c>
      <c r="M4" s="31" t="inlineStr">
        <is>
          <t>spores_per_m3</t>
        </is>
      </c>
      <c r="N4" s="31" t="inlineStr">
        <is>
          <t>percent_of_total</t>
        </is>
      </c>
      <c r="O4" s="31" t="inlineStr">
        <is>
          <t>ai_visual_group</t>
        </is>
      </c>
      <c r="P4" s="31" t="inlineStr">
        <is>
          <t>water_damage_indicator</t>
        </is>
      </c>
      <c r="Q4" s="31" t="inlineStr">
        <is>
          <t>count_vs_outdoor_ratio</t>
        </is>
      </c>
      <c r="R4" s="31" t="inlineStr">
        <is>
          <t>rule_based_interpretation</t>
        </is>
      </c>
      <c r="S4" s="31" t="inlineStr">
        <is>
          <t>source_file</t>
        </is>
      </c>
      <c r="T4" s="31" t="inlineStr">
        <is>
          <t>source_note</t>
        </is>
      </c>
    </row>
    <row r="5">
      <c r="A5" t="inlineStr">
        <is>
          <t>SanAir</t>
        </is>
      </c>
      <c r="B5" t="inlineStr">
        <is>
          <t>21056763</t>
        </is>
      </c>
      <c r="C5" t="inlineStr">
        <is>
          <t>21056763-001</t>
        </is>
      </c>
      <c r="D5" t="inlineStr">
        <is>
          <t>Exterior</t>
        </is>
      </c>
      <c r="E5" t="inlineStr">
        <is>
          <t>Outdoor</t>
        </is>
      </c>
      <c r="F5" t="inlineStr">
        <is>
          <t>Air-O-Cell</t>
        </is>
      </c>
      <c r="G5" s="34" t="n">
        <v>75</v>
      </c>
      <c r="H5" t="inlineStr">
        <is>
          <t>2</t>
        </is>
      </c>
      <c r="I5" s="35" t="n"/>
      <c r="J5" s="35" t="n"/>
      <c r="K5" t="inlineStr">
        <is>
          <t>Alternaria species</t>
        </is>
      </c>
      <c r="L5" s="34" t="n">
        <v>2</v>
      </c>
      <c r="M5" s="34" t="n">
        <v>27</v>
      </c>
      <c r="N5" t="inlineStr">
        <is>
          <t>&lt;1%</t>
        </is>
      </c>
      <c r="O5" t="inlineStr">
        <is>
          <t>Alternaria</t>
        </is>
      </c>
      <c r="P5" t="inlineStr">
        <is>
          <t>Low</t>
        </is>
      </c>
      <c r="Q5" t="n">
        <v>1</v>
      </c>
      <c r="R5" t="inlineStr">
        <is>
          <t>Exterior baseline outdoor-type detection</t>
        </is>
      </c>
      <c r="S5" t="inlineStr">
        <is>
          <t>21056763_Jaunich_20211020173423.pdf</t>
        </is>
      </c>
      <c r="T5" t="inlineStr">
        <is>
          <t>Page 3 exterior baseline</t>
        </is>
      </c>
    </row>
    <row r="6">
      <c r="A6" t="inlineStr">
        <is>
          <t>SanAir</t>
        </is>
      </c>
      <c r="B6" t="inlineStr">
        <is>
          <t>21056763</t>
        </is>
      </c>
      <c r="C6" t="inlineStr">
        <is>
          <t>21056763-001</t>
        </is>
      </c>
      <c r="D6" t="inlineStr">
        <is>
          <t>Exterior</t>
        </is>
      </c>
      <c r="E6" t="inlineStr">
        <is>
          <t>Outdoor</t>
        </is>
      </c>
      <c r="F6" t="inlineStr">
        <is>
          <t>Air-O-Cell</t>
        </is>
      </c>
      <c r="G6" s="34" t="n">
        <v>75</v>
      </c>
      <c r="H6" t="inlineStr">
        <is>
          <t>2</t>
        </is>
      </c>
      <c r="I6" s="35" t="n"/>
      <c r="J6" s="35" t="n"/>
      <c r="K6" t="inlineStr">
        <is>
          <t>Ascospores</t>
        </is>
      </c>
      <c r="L6" s="34" t="n">
        <v>882</v>
      </c>
      <c r="M6" s="34" t="n">
        <v>11760</v>
      </c>
      <c r="N6" t="inlineStr">
        <is>
          <t>99%</t>
        </is>
      </c>
      <c r="O6" t="inlineStr">
        <is>
          <t>Ascospores</t>
        </is>
      </c>
      <c r="P6" t="inlineStr">
        <is>
          <t>Low</t>
        </is>
      </c>
      <c r="Q6" t="n">
        <v>1</v>
      </c>
      <c r="R6" t="inlineStr">
        <is>
          <t>Exterior baseline dominated by ascospores</t>
        </is>
      </c>
      <c r="S6" t="inlineStr">
        <is>
          <t>21056763_Jaunich_20211020173423.pdf</t>
        </is>
      </c>
      <c r="T6" t="inlineStr">
        <is>
          <t>Page 3</t>
        </is>
      </c>
    </row>
    <row r="7">
      <c r="A7" t="inlineStr">
        <is>
          <t>SanAir</t>
        </is>
      </c>
      <c r="B7" t="inlineStr">
        <is>
          <t>21056763</t>
        </is>
      </c>
      <c r="C7" t="inlineStr">
        <is>
          <t>21056763-001</t>
        </is>
      </c>
      <c r="D7" t="inlineStr">
        <is>
          <t>Exterior</t>
        </is>
      </c>
      <c r="E7" t="inlineStr">
        <is>
          <t>Outdoor</t>
        </is>
      </c>
      <c r="F7" t="inlineStr">
        <is>
          <t>Air-O-Cell</t>
        </is>
      </c>
      <c r="G7" s="34" t="n">
        <v>75</v>
      </c>
      <c r="H7" t="inlineStr">
        <is>
          <t>2</t>
        </is>
      </c>
      <c r="I7" s="35" t="n"/>
      <c r="J7" s="35" t="n"/>
      <c r="K7" t="inlineStr">
        <is>
          <t>Chaetomium species</t>
        </is>
      </c>
      <c r="L7" s="34" t="n">
        <v>2</v>
      </c>
      <c r="M7" s="34" t="n">
        <v>27</v>
      </c>
      <c r="N7" t="inlineStr">
        <is>
          <t>&lt;1%</t>
        </is>
      </c>
      <c r="O7" t="inlineStr">
        <is>
          <t>Chaetomium</t>
        </is>
      </c>
      <c r="P7" t="inlineStr">
        <is>
          <t>High</t>
        </is>
      </c>
      <c r="Q7" t="n">
        <v>1</v>
      </c>
      <c r="R7" t="inlineStr">
        <is>
          <t>Low-count outdoor water-damage indicator</t>
        </is>
      </c>
      <c r="S7" t="inlineStr">
        <is>
          <t>21056763_Jaunich_20211020173423.pdf</t>
        </is>
      </c>
      <c r="T7" t="inlineStr">
        <is>
          <t>Page 3</t>
        </is>
      </c>
    </row>
    <row r="8">
      <c r="A8" t="inlineStr">
        <is>
          <t>SanAir</t>
        </is>
      </c>
      <c r="B8" t="inlineStr">
        <is>
          <t>21056763</t>
        </is>
      </c>
      <c r="C8" t="inlineStr">
        <is>
          <t>21056763-001</t>
        </is>
      </c>
      <c r="D8" t="inlineStr">
        <is>
          <t>Exterior</t>
        </is>
      </c>
      <c r="E8" t="inlineStr">
        <is>
          <t>Outdoor</t>
        </is>
      </c>
      <c r="F8" t="inlineStr">
        <is>
          <t>Air-O-Cell</t>
        </is>
      </c>
      <c r="G8" s="34" t="n">
        <v>75</v>
      </c>
      <c r="H8" t="inlineStr">
        <is>
          <t>2</t>
        </is>
      </c>
      <c r="I8" s="35" t="n"/>
      <c r="J8" s="35" t="n"/>
      <c r="K8" t="inlineStr">
        <is>
          <t>Cladosporium species</t>
        </is>
      </c>
      <c r="L8" s="34" t="n">
        <v>5</v>
      </c>
      <c r="M8" s="34" t="n">
        <v>67</v>
      </c>
      <c r="N8" t="inlineStr">
        <is>
          <t>&lt;1%</t>
        </is>
      </c>
      <c r="O8" t="inlineStr">
        <is>
          <t>Cladosporium</t>
        </is>
      </c>
      <c r="P8" t="inlineStr">
        <is>
          <t>Low</t>
        </is>
      </c>
      <c r="Q8" t="n">
        <v>1</v>
      </c>
      <c r="R8" t="inlineStr">
        <is>
          <t>Typical outdoor background genus</t>
        </is>
      </c>
      <c r="S8" t="inlineStr">
        <is>
          <t>21056763_Jaunich_20211020173423.pdf</t>
        </is>
      </c>
      <c r="T8" t="inlineStr">
        <is>
          <t>Page 3</t>
        </is>
      </c>
    </row>
    <row r="9">
      <c r="A9" t="inlineStr">
        <is>
          <t>SanAir</t>
        </is>
      </c>
      <c r="B9" t="inlineStr">
        <is>
          <t>21056763</t>
        </is>
      </c>
      <c r="C9" t="inlineStr">
        <is>
          <t>21056763-002</t>
        </is>
      </c>
      <c r="D9" t="inlineStr">
        <is>
          <t>Entry</t>
        </is>
      </c>
      <c r="E9" t="inlineStr">
        <is>
          <t>Indoor</t>
        </is>
      </c>
      <c r="F9" t="inlineStr">
        <is>
          <t>Air-O-Cell</t>
        </is>
      </c>
      <c r="G9" s="34" t="n">
        <v>75</v>
      </c>
      <c r="H9" t="inlineStr">
        <is>
          <t>3+</t>
        </is>
      </c>
      <c r="I9" s="35" t="n"/>
      <c r="J9" s="35" t="n"/>
      <c r="K9" t="inlineStr">
        <is>
          <t>Ascospores</t>
        </is>
      </c>
      <c r="L9" s="34" t="n">
        <v>1</v>
      </c>
      <c r="M9" s="34" t="n">
        <v>13</v>
      </c>
      <c r="N9" t="inlineStr">
        <is>
          <t>&lt;1%</t>
        </is>
      </c>
      <c r="O9" t="inlineStr">
        <is>
          <t>Ascospores</t>
        </is>
      </c>
      <c r="P9" t="inlineStr">
        <is>
          <t>Low</t>
        </is>
      </c>
      <c r="Q9" t="n">
        <v>0.001105442176870748</v>
      </c>
      <c r="R9" t="inlineStr">
        <is>
          <t>Trace indoor ascospores below baseline</t>
        </is>
      </c>
      <c r="S9" t="inlineStr">
        <is>
          <t>21056763_Jaunich_20211020173423.pdf</t>
        </is>
      </c>
      <c r="T9" t="inlineStr">
        <is>
          <t>Page 3</t>
        </is>
      </c>
    </row>
    <row r="10">
      <c r="A10" t="inlineStr">
        <is>
          <t>SanAir</t>
        </is>
      </c>
      <c r="B10" t="inlineStr">
        <is>
          <t>21056763</t>
        </is>
      </c>
      <c r="C10" t="inlineStr">
        <is>
          <t>21056763-002</t>
        </is>
      </c>
      <c r="D10" t="inlineStr">
        <is>
          <t>Entry</t>
        </is>
      </c>
      <c r="E10" t="inlineStr">
        <is>
          <t>Indoor</t>
        </is>
      </c>
      <c r="F10" t="inlineStr">
        <is>
          <t>Air-O-Cell</t>
        </is>
      </c>
      <c r="G10" s="34" t="n">
        <v>75</v>
      </c>
      <c r="H10" t="inlineStr">
        <is>
          <t>3+</t>
        </is>
      </c>
      <c r="I10" s="35" t="n"/>
      <c r="J10" s="35" t="n"/>
      <c r="K10" t="inlineStr">
        <is>
          <t>Basidiospores</t>
        </is>
      </c>
      <c r="L10" s="34" t="n">
        <v>12000</v>
      </c>
      <c r="M10" s="34" t="n">
        <v>160000</v>
      </c>
      <c r="N10" t="inlineStr">
        <is>
          <t>&gt;99%</t>
        </is>
      </c>
      <c r="O10" t="inlineStr">
        <is>
          <t>Basidiospores</t>
        </is>
      </c>
      <c r="P10" t="inlineStr">
        <is>
          <t>Moderate</t>
        </is>
      </c>
      <c r="R10" t="inlineStr">
        <is>
          <t>Indoor dominated by basidiospores with overloaded profile</t>
        </is>
      </c>
      <c r="S10" t="inlineStr">
        <is>
          <t>21056763_Jaunich_20211020173423.pdf</t>
        </is>
      </c>
      <c r="T10" t="inlineStr">
        <is>
          <t>Page 3 estimated &gt;12,000 raw count</t>
        </is>
      </c>
    </row>
    <row r="11">
      <c r="A11" t="inlineStr">
        <is>
          <t>SanAir</t>
        </is>
      </c>
      <c r="B11" t="inlineStr">
        <is>
          <t>21056763</t>
        </is>
      </c>
      <c r="C11" t="inlineStr">
        <is>
          <t>21056763-002</t>
        </is>
      </c>
      <c r="D11" t="inlineStr">
        <is>
          <t>Entry</t>
        </is>
      </c>
      <c r="E11" t="inlineStr">
        <is>
          <t>Indoor</t>
        </is>
      </c>
      <c r="F11" t="inlineStr">
        <is>
          <t>Air-O-Cell</t>
        </is>
      </c>
      <c r="G11" s="34" t="n">
        <v>75</v>
      </c>
      <c r="H11" t="inlineStr">
        <is>
          <t>3+</t>
        </is>
      </c>
      <c r="I11" s="35" t="n"/>
      <c r="J11" s="35" t="n"/>
      <c r="K11" t="inlineStr">
        <is>
          <t>Cladosporium species</t>
        </is>
      </c>
      <c r="L11" s="34" t="n">
        <v>1</v>
      </c>
      <c r="M11" s="34" t="n">
        <v>13</v>
      </c>
      <c r="N11" t="inlineStr">
        <is>
          <t>&lt;1%</t>
        </is>
      </c>
      <c r="O11" t="inlineStr">
        <is>
          <t>Cladosporium</t>
        </is>
      </c>
      <c r="P11" t="inlineStr">
        <is>
          <t>Low</t>
        </is>
      </c>
      <c r="Q11" t="n">
        <v>0.1940298507462687</v>
      </c>
      <c r="R11" t="inlineStr">
        <is>
          <t>Indoor cladosporium lower than outdoor baseline</t>
        </is>
      </c>
      <c r="S11" t="inlineStr">
        <is>
          <t>21056763_Jaunich_20211020173423.pdf</t>
        </is>
      </c>
      <c r="T11" t="inlineStr">
        <is>
          <t>Page 3</t>
        </is>
      </c>
    </row>
    <row r="12">
      <c r="A12" t="inlineStr">
        <is>
          <t>SanAir</t>
        </is>
      </c>
      <c r="B12" t="inlineStr">
        <is>
          <t>21056763</t>
        </is>
      </c>
      <c r="C12" t="inlineStr">
        <is>
          <t>21056763-003</t>
        </is>
      </c>
      <c r="D12" t="inlineStr">
        <is>
          <t>TV Area</t>
        </is>
      </c>
      <c r="E12" t="inlineStr">
        <is>
          <t>Indoor</t>
        </is>
      </c>
      <c r="F12" t="inlineStr">
        <is>
          <t>Air-O-Cell</t>
        </is>
      </c>
      <c r="G12" s="34" t="n">
        <v>75</v>
      </c>
      <c r="H12" t="inlineStr">
        <is>
          <t>3+</t>
        </is>
      </c>
      <c r="I12" s="35" t="n"/>
      <c r="J12" s="35" t="n"/>
      <c r="K12" t="inlineStr">
        <is>
          <t>Basidiospores</t>
        </is>
      </c>
      <c r="L12" s="34" t="n">
        <v>12000</v>
      </c>
      <c r="M12" s="34" t="n">
        <v>160000</v>
      </c>
      <c r="N12" t="inlineStr">
        <is>
          <t>&gt;99%</t>
        </is>
      </c>
      <c r="O12" t="inlineStr">
        <is>
          <t>Basidiospores</t>
        </is>
      </c>
      <c r="P12" t="inlineStr">
        <is>
          <t>Moderate</t>
        </is>
      </c>
      <c r="R12" t="inlineStr">
        <is>
          <t>TV area sample overwhelmed by basidiospores</t>
        </is>
      </c>
      <c r="S12" t="inlineStr">
        <is>
          <t>21056763_Jaunich_20211020173423.pdf</t>
        </is>
      </c>
      <c r="T12" t="inlineStr">
        <is>
          <t>Page 3 estimated &gt;12,000 raw count</t>
        </is>
      </c>
    </row>
    <row r="13">
      <c r="A13" t="inlineStr">
        <is>
          <t>SanAir</t>
        </is>
      </c>
      <c r="B13" t="inlineStr">
        <is>
          <t>21056763</t>
        </is>
      </c>
      <c r="C13" t="inlineStr">
        <is>
          <t>21056763-004</t>
        </is>
      </c>
      <c r="D13" t="inlineStr">
        <is>
          <t>Exterior Side</t>
        </is>
      </c>
      <c r="E13" t="inlineStr">
        <is>
          <t>Surface</t>
        </is>
      </c>
      <c r="F13" t="inlineStr">
        <is>
          <t>Bulk Material</t>
        </is>
      </c>
      <c r="G13" s="34" t="n"/>
      <c r="I13" s="35" t="n"/>
      <c r="J13" s="35" t="n"/>
      <c r="K13" t="inlineStr">
        <is>
          <t>Aspergillus/Penicillium</t>
        </is>
      </c>
      <c r="L13" s="34" t="n"/>
      <c r="M13" s="34" t="n"/>
      <c r="N13" t="inlineStr">
        <is>
          <t>Rare</t>
        </is>
      </c>
      <c r="O13" t="inlineStr">
        <is>
          <t>Aspergillus/Penicillium</t>
        </is>
      </c>
      <c r="P13" t="inlineStr">
        <is>
          <t>Moderate</t>
        </is>
      </c>
      <c r="R13" t="inlineStr">
        <is>
          <t>Direct ID: rare possible growth on bulk material</t>
        </is>
      </c>
      <c r="S13" t="inlineStr">
        <is>
          <t>21056763_Jaunich_20211020173423.pdf</t>
        </is>
      </c>
      <c r="T13" t="inlineStr">
        <is>
          <t>Page 4</t>
        </is>
      </c>
    </row>
    <row r="14">
      <c r="A14" t="inlineStr">
        <is>
          <t>SanAir</t>
        </is>
      </c>
      <c r="B14" t="inlineStr">
        <is>
          <t>21056763</t>
        </is>
      </c>
      <c r="C14" t="inlineStr">
        <is>
          <t>21056763-005</t>
        </is>
      </c>
      <c r="D14" t="inlineStr">
        <is>
          <t>Wall At Beam</t>
        </is>
      </c>
      <c r="E14" t="inlineStr">
        <is>
          <t>Surface</t>
        </is>
      </c>
      <c r="F14" t="inlineStr">
        <is>
          <t>Bulk Material</t>
        </is>
      </c>
      <c r="G14" s="34" t="n"/>
      <c r="I14" s="35" t="n"/>
      <c r="J14" s="35" t="n"/>
      <c r="K14" t="inlineStr">
        <is>
          <t>Aspergillus/Penicillium</t>
        </is>
      </c>
      <c r="L14" s="34" t="n"/>
      <c r="M14" s="34" t="n"/>
      <c r="N14" t="inlineStr">
        <is>
          <t>Light</t>
        </is>
      </c>
      <c r="O14" t="inlineStr">
        <is>
          <t>Aspergillus/Penicillium</t>
        </is>
      </c>
      <c r="P14" t="inlineStr">
        <is>
          <t>Moderate</t>
        </is>
      </c>
      <c r="R14" t="inlineStr">
        <is>
          <t>Direct ID: light possible growth</t>
        </is>
      </c>
      <c r="S14" t="inlineStr">
        <is>
          <t>21056763_Jaunich_20211020173423.pdf</t>
        </is>
      </c>
      <c r="T14" t="inlineStr">
        <is>
          <t>Page 4</t>
        </is>
      </c>
    </row>
    <row r="15">
      <c r="A15" t="inlineStr">
        <is>
          <t>SanAir</t>
        </is>
      </c>
      <c r="B15" t="inlineStr">
        <is>
          <t>21056763</t>
        </is>
      </c>
      <c r="C15" t="inlineStr">
        <is>
          <t>21056763-006</t>
        </is>
      </c>
      <c r="D15" t="inlineStr">
        <is>
          <t>Beam Inside</t>
        </is>
      </c>
      <c r="E15" t="inlineStr">
        <is>
          <t>Surface</t>
        </is>
      </c>
      <c r="F15" t="inlineStr">
        <is>
          <t>Bulk Material</t>
        </is>
      </c>
      <c r="G15" s="34" t="n"/>
      <c r="I15" s="35" t="n"/>
      <c r="J15" s="35" t="n"/>
      <c r="K15" t="inlineStr">
        <is>
          <t>Basidiospores</t>
        </is>
      </c>
      <c r="L15" s="34" t="n"/>
      <c r="M15" s="34" t="n"/>
      <c r="N15" t="inlineStr">
        <is>
          <t>Heavy</t>
        </is>
      </c>
      <c r="O15" t="inlineStr">
        <is>
          <t>Basidiospores</t>
        </is>
      </c>
      <c r="P15" t="inlineStr">
        <is>
          <t>Moderate</t>
        </is>
      </c>
      <c r="R15" t="inlineStr">
        <is>
          <t>Direct ID: heavy probable/significant growth evidence</t>
        </is>
      </c>
      <c r="S15" t="inlineStr">
        <is>
          <t>21056763_Jaunich_20211020173423.pdf</t>
        </is>
      </c>
      <c r="T15" t="inlineStr">
        <is>
          <t>Page 4</t>
        </is>
      </c>
    </row>
    <row r="16">
      <c r="A16" t="inlineStr">
        <is>
          <t>SanAir</t>
        </is>
      </c>
      <c r="B16" t="inlineStr">
        <is>
          <t>21056763</t>
        </is>
      </c>
      <c r="C16" t="inlineStr">
        <is>
          <t>21056763-007</t>
        </is>
      </c>
      <c r="D16" t="inlineStr">
        <is>
          <t>Window</t>
        </is>
      </c>
      <c r="E16" t="inlineStr">
        <is>
          <t>Surface</t>
        </is>
      </c>
      <c r="F16" t="inlineStr">
        <is>
          <t>Bulk Material</t>
        </is>
      </c>
      <c r="G16" s="34" t="n"/>
      <c r="I16" s="35" t="n"/>
      <c r="J16" s="35" t="n"/>
      <c r="K16" t="inlineStr">
        <is>
          <t>Cladosporium species</t>
        </is>
      </c>
      <c r="L16" s="34" t="n"/>
      <c r="M16" s="34" t="n"/>
      <c r="N16" t="inlineStr">
        <is>
          <t>Rare</t>
        </is>
      </c>
      <c r="O16" t="inlineStr">
        <is>
          <t>Cladosporium</t>
        </is>
      </c>
      <c r="P16" t="inlineStr">
        <is>
          <t>Low</t>
        </is>
      </c>
      <c r="R16" t="inlineStr">
        <is>
          <t>Direct ID: rare visible growth evidence</t>
        </is>
      </c>
      <c r="S16" t="inlineStr">
        <is>
          <t>21056763_Jaunich_20211020173423.pdf</t>
        </is>
      </c>
      <c r="T16" t="inlineStr">
        <is>
          <t>Page 4</t>
        </is>
      </c>
    </row>
    <row r="17">
      <c r="A17" t="inlineStr">
        <is>
          <t>AEMTEK</t>
        </is>
      </c>
      <c r="B17" t="inlineStr">
        <is>
          <t>1701206</t>
        </is>
      </c>
      <c r="C17" t="inlineStr">
        <is>
          <t>23671241</t>
        </is>
      </c>
      <c r="D17" t="inlineStr">
        <is>
          <t>Downstairs Bedroom</t>
        </is>
      </c>
      <c r="E17" t="inlineStr">
        <is>
          <t>Indoor</t>
        </is>
      </c>
      <c r="F17" t="inlineStr">
        <is>
          <t>Spore Slit Impaction Cassette</t>
        </is>
      </c>
      <c r="G17" s="34" t="n">
        <v>75</v>
      </c>
      <c r="H17" t="inlineStr">
        <is>
          <t>26-50%</t>
        </is>
      </c>
      <c r="I17" s="35" t="n">
        <v>64</v>
      </c>
      <c r="J17" s="35" t="n">
        <v>47</v>
      </c>
      <c r="K17" t="inlineStr">
        <is>
          <t>Aspergillus/Penicillium-like</t>
        </is>
      </c>
      <c r="L17" s="34" t="n">
        <v>7</v>
      </c>
      <c r="M17" s="34" t="n">
        <v>91</v>
      </c>
      <c r="N17" t="inlineStr">
        <is>
          <t>44%</t>
        </is>
      </c>
      <c r="O17" t="inlineStr">
        <is>
          <t>Aspergillus/Penicillium</t>
        </is>
      </c>
      <c r="P17" t="inlineStr">
        <is>
          <t>Moderate</t>
        </is>
      </c>
      <c r="Q17" t="n">
        <v>0.7</v>
      </c>
      <c r="R17" t="inlineStr">
        <is>
          <t>Indoor A/P-like exceeds 50% of outdoor level</t>
        </is>
      </c>
      <c r="S17" t="inlineStr">
        <is>
          <t>Lab Results - 1701206.pdf</t>
        </is>
      </c>
      <c r="T17" t="inlineStr">
        <is>
          <t>Page 2 + chain of custody page 3</t>
        </is>
      </c>
    </row>
    <row r="18">
      <c r="A18" t="inlineStr">
        <is>
          <t>AEMTEK</t>
        </is>
      </c>
      <c r="B18" t="inlineStr">
        <is>
          <t>1701206</t>
        </is>
      </c>
      <c r="C18" t="inlineStr">
        <is>
          <t>23671241</t>
        </is>
      </c>
      <c r="D18" t="inlineStr">
        <is>
          <t>Downstairs Bedroom</t>
        </is>
      </c>
      <c r="E18" t="inlineStr">
        <is>
          <t>Indoor</t>
        </is>
      </c>
      <c r="F18" t="inlineStr">
        <is>
          <t>Spore Slit Impaction Cassette</t>
        </is>
      </c>
      <c r="G18" s="34" t="n">
        <v>75</v>
      </c>
      <c r="H18" t="inlineStr">
        <is>
          <t>26-50%</t>
        </is>
      </c>
      <c r="I18" s="35" t="n">
        <v>64</v>
      </c>
      <c r="J18" s="35" t="n">
        <v>47</v>
      </c>
      <c r="K18" t="inlineStr">
        <is>
          <t>Cladosporium</t>
        </is>
      </c>
      <c r="L18" s="34" t="n">
        <v>5</v>
      </c>
      <c r="M18" s="34" t="n">
        <v>65</v>
      </c>
      <c r="N18" t="inlineStr">
        <is>
          <t>31%</t>
        </is>
      </c>
      <c r="O18" t="inlineStr">
        <is>
          <t>Cladosporium</t>
        </is>
      </c>
      <c r="P18" t="inlineStr">
        <is>
          <t>Low</t>
        </is>
      </c>
      <c r="Q18" t="n">
        <v>0.1282051282051282</v>
      </c>
      <c r="R18" t="inlineStr">
        <is>
          <t>Indoor cladosporium well below outdoor baseline</t>
        </is>
      </c>
      <c r="S18" t="inlineStr">
        <is>
          <t>Lab Results - 1701206.pdf</t>
        </is>
      </c>
      <c r="T18" t="inlineStr">
        <is>
          <t>Page 2</t>
        </is>
      </c>
    </row>
    <row r="19">
      <c r="A19" t="inlineStr">
        <is>
          <t>AEMTEK</t>
        </is>
      </c>
      <c r="B19" t="inlineStr">
        <is>
          <t>1701206</t>
        </is>
      </c>
      <c r="C19" t="inlineStr">
        <is>
          <t>23671140</t>
        </is>
      </c>
      <c r="D19" t="inlineStr">
        <is>
          <t>Downstairs Bathroom</t>
        </is>
      </c>
      <c r="E19" t="inlineStr">
        <is>
          <t>Indoor</t>
        </is>
      </c>
      <c r="F19" t="inlineStr">
        <is>
          <t>Spore Slit Impaction Cassette</t>
        </is>
      </c>
      <c r="G19" s="34" t="n">
        <v>75</v>
      </c>
      <c r="H19" t="inlineStr">
        <is>
          <t>51-75%</t>
        </is>
      </c>
      <c r="I19" s="35" t="n">
        <v>68</v>
      </c>
      <c r="J19" s="35" t="n">
        <v>42</v>
      </c>
      <c r="K19" t="inlineStr">
        <is>
          <t>Aspergillus/Penicillium-like</t>
        </is>
      </c>
      <c r="L19" s="34" t="n">
        <v>19</v>
      </c>
      <c r="M19" s="34" t="n">
        <v>247</v>
      </c>
      <c r="N19" t="inlineStr">
        <is>
          <t>25%</t>
        </is>
      </c>
      <c r="O19" t="inlineStr">
        <is>
          <t>Aspergillus/Penicillium</t>
        </is>
      </c>
      <c r="P19" t="inlineStr">
        <is>
          <t>Moderate</t>
        </is>
      </c>
      <c r="Q19" t="n">
        <v>1.9</v>
      </c>
      <c r="R19" t="inlineStr">
        <is>
          <t>Bathroom A/P-like almost 2x outdoor level</t>
        </is>
      </c>
      <c r="S19" t="inlineStr">
        <is>
          <t>Lab Results - 1701206.pdf</t>
        </is>
      </c>
      <c r="T19" t="inlineStr">
        <is>
          <t>Page 2 + page 3</t>
        </is>
      </c>
    </row>
    <row r="20">
      <c r="A20" t="inlineStr">
        <is>
          <t>AEMTEK</t>
        </is>
      </c>
      <c r="B20" t="inlineStr">
        <is>
          <t>1701206</t>
        </is>
      </c>
      <c r="C20" t="inlineStr">
        <is>
          <t>23671140</t>
        </is>
      </c>
      <c r="D20" t="inlineStr">
        <is>
          <t>Downstairs Bathroom</t>
        </is>
      </c>
      <c r="E20" t="inlineStr">
        <is>
          <t>Indoor</t>
        </is>
      </c>
      <c r="F20" t="inlineStr">
        <is>
          <t>Spore Slit Impaction Cassette</t>
        </is>
      </c>
      <c r="G20" s="34" t="n">
        <v>75</v>
      </c>
      <c r="H20" t="inlineStr">
        <is>
          <t>51-75%</t>
        </is>
      </c>
      <c r="I20" s="35" t="n">
        <v>68</v>
      </c>
      <c r="J20" s="35" t="n">
        <v>42</v>
      </c>
      <c r="K20" t="inlineStr">
        <is>
          <t>Stachybotrys</t>
        </is>
      </c>
      <c r="L20" s="34" t="n">
        <v>2</v>
      </c>
      <c r="M20" s="34" t="n">
        <v>26</v>
      </c>
      <c r="N20" t="inlineStr">
        <is>
          <t>3%</t>
        </is>
      </c>
      <c r="O20" t="inlineStr">
        <is>
          <t>Stachybotrys</t>
        </is>
      </c>
      <c r="P20" t="inlineStr">
        <is>
          <t>High</t>
        </is>
      </c>
      <c r="R20" t="inlineStr">
        <is>
          <t>Low-count Stachybotrys indoors warrants high caution due to water-damage significance</t>
        </is>
      </c>
      <c r="S20" t="inlineStr">
        <is>
          <t>Lab Results - 1701206.pdf</t>
        </is>
      </c>
      <c r="T20" t="inlineStr">
        <is>
          <t>Page 2</t>
        </is>
      </c>
    </row>
    <row r="21">
      <c r="A21" t="inlineStr">
        <is>
          <t>AEMTEK</t>
        </is>
      </c>
      <c r="B21" t="inlineStr">
        <is>
          <t>1701206</t>
        </is>
      </c>
      <c r="C21" t="inlineStr">
        <is>
          <t>23671140</t>
        </is>
      </c>
      <c r="D21" t="inlineStr">
        <is>
          <t>Downstairs Bathroom</t>
        </is>
      </c>
      <c r="E21" t="inlineStr">
        <is>
          <t>Indoor</t>
        </is>
      </c>
      <c r="F21" t="inlineStr">
        <is>
          <t>Spore Slit Impaction Cassette</t>
        </is>
      </c>
      <c r="G21" s="34" t="n">
        <v>75</v>
      </c>
      <c r="H21" t="inlineStr">
        <is>
          <t>51-75%</t>
        </is>
      </c>
      <c r="I21" s="35" t="n">
        <v>68</v>
      </c>
      <c r="J21" s="35" t="n">
        <v>42</v>
      </c>
      <c r="K21" t="inlineStr">
        <is>
          <t>Cladosporium</t>
        </is>
      </c>
      <c r="L21" s="34" t="n">
        <v>21</v>
      </c>
      <c r="M21" s="34" t="n">
        <v>273</v>
      </c>
      <c r="N21" t="inlineStr">
        <is>
          <t>28%</t>
        </is>
      </c>
      <c r="O21" t="inlineStr">
        <is>
          <t>Cladosporium</t>
        </is>
      </c>
      <c r="P21" t="inlineStr">
        <is>
          <t>Low</t>
        </is>
      </c>
      <c r="Q21" t="n">
        <v>0.5384615384615384</v>
      </c>
      <c r="R21" t="inlineStr">
        <is>
          <t>Bathroom cladosporium below outdoor baseline but still notable</t>
        </is>
      </c>
      <c r="S21" t="inlineStr">
        <is>
          <t>Lab Results - 1701206.pdf</t>
        </is>
      </c>
      <c r="T21" t="inlineStr">
        <is>
          <t>Page 2</t>
        </is>
      </c>
    </row>
    <row r="22">
      <c r="A22" t="inlineStr">
        <is>
          <t>AEMTEK</t>
        </is>
      </c>
      <c r="B22" t="inlineStr">
        <is>
          <t>1701206</t>
        </is>
      </c>
      <c r="C22" t="inlineStr">
        <is>
          <t>23671229</t>
        </is>
      </c>
      <c r="D22" t="inlineStr">
        <is>
          <t>Outside (ambient)</t>
        </is>
      </c>
      <c r="E22" t="inlineStr">
        <is>
          <t>Outdoor</t>
        </is>
      </c>
      <c r="F22" t="inlineStr">
        <is>
          <t>Spore Slit Impaction Cassette</t>
        </is>
      </c>
      <c r="G22" s="34" t="n">
        <v>75</v>
      </c>
      <c r="H22" t="inlineStr">
        <is>
          <t>51-75%</t>
        </is>
      </c>
      <c r="I22" s="35" t="n">
        <v>61</v>
      </c>
      <c r="J22" s="35" t="n">
        <v>35</v>
      </c>
      <c r="K22" t="inlineStr">
        <is>
          <t>Aspergillus/Penicillium-like</t>
        </is>
      </c>
      <c r="L22" s="34" t="n">
        <v>10</v>
      </c>
      <c r="M22" s="34" t="n">
        <v>130</v>
      </c>
      <c r="N22" t="inlineStr">
        <is>
          <t>6%</t>
        </is>
      </c>
      <c r="O22" t="inlineStr">
        <is>
          <t>Aspergillus/Penicillium</t>
        </is>
      </c>
      <c r="P22" t="inlineStr">
        <is>
          <t>Moderate</t>
        </is>
      </c>
      <c r="Q22" t="n">
        <v>1</v>
      </c>
      <c r="R22" t="inlineStr">
        <is>
          <t>Outdoor reference for AEMTEK dataset</t>
        </is>
      </c>
      <c r="S22" t="inlineStr">
        <is>
          <t>Lab Results - 1701206.pdf</t>
        </is>
      </c>
      <c r="T22" t="inlineStr">
        <is>
          <t>Page 2 + page 3</t>
        </is>
      </c>
    </row>
    <row r="23">
      <c r="A23" t="inlineStr">
        <is>
          <t>AEMTEK</t>
        </is>
      </c>
      <c r="B23" t="inlineStr">
        <is>
          <t>1701206</t>
        </is>
      </c>
      <c r="C23" t="inlineStr">
        <is>
          <t>23671229</t>
        </is>
      </c>
      <c r="D23" t="inlineStr">
        <is>
          <t>Outside (ambient)</t>
        </is>
      </c>
      <c r="E23" t="inlineStr">
        <is>
          <t>Outdoor</t>
        </is>
      </c>
      <c r="F23" t="inlineStr">
        <is>
          <t>Spore Slit Impaction Cassette</t>
        </is>
      </c>
      <c r="G23" s="34" t="n">
        <v>75</v>
      </c>
      <c r="H23" t="inlineStr">
        <is>
          <t>51-75%</t>
        </is>
      </c>
      <c r="I23" s="35" t="n">
        <v>61</v>
      </c>
      <c r="J23" s="35" t="n">
        <v>35</v>
      </c>
      <c r="K23" t="inlineStr">
        <is>
          <t>Cladosporium</t>
        </is>
      </c>
      <c r="L23" s="34" t="n">
        <v>39</v>
      </c>
      <c r="M23" s="34" t="n">
        <v>507</v>
      </c>
      <c r="N23" t="inlineStr">
        <is>
          <t>22%</t>
        </is>
      </c>
      <c r="O23" t="inlineStr">
        <is>
          <t>Cladosporium</t>
        </is>
      </c>
      <c r="P23" t="inlineStr">
        <is>
          <t>Low</t>
        </is>
      </c>
      <c r="Q23" t="n">
        <v>1</v>
      </c>
      <c r="R23" t="inlineStr">
        <is>
          <t>Outdoor reference cladosporium baseline</t>
        </is>
      </c>
      <c r="S23" t="inlineStr">
        <is>
          <t>Lab Results - 1701206.pdf</t>
        </is>
      </c>
      <c r="T23" t="inlineStr">
        <is>
          <t>Page 2</t>
        </is>
      </c>
    </row>
    <row r="24">
      <c r="A24" t="inlineStr">
        <is>
          <t>AEMTEK</t>
        </is>
      </c>
      <c r="B24" t="inlineStr">
        <is>
          <t>1701206</t>
        </is>
      </c>
      <c r="C24" t="inlineStr">
        <is>
          <t>23671229</t>
        </is>
      </c>
      <c r="D24" t="inlineStr">
        <is>
          <t>Outside (ambient)</t>
        </is>
      </c>
      <c r="E24" t="inlineStr">
        <is>
          <t>Outdoor</t>
        </is>
      </c>
      <c r="F24" t="inlineStr">
        <is>
          <t>Spore Slit Impaction Cassette</t>
        </is>
      </c>
      <c r="G24" s="34" t="n">
        <v>75</v>
      </c>
      <c r="H24" t="inlineStr">
        <is>
          <t>51-75%</t>
        </is>
      </c>
      <c r="I24" s="35" t="n">
        <v>61</v>
      </c>
      <c r="J24" s="35" t="n">
        <v>35</v>
      </c>
      <c r="K24" t="inlineStr">
        <is>
          <t>Basidiospores</t>
        </is>
      </c>
      <c r="L24" s="34" t="n">
        <v>62</v>
      </c>
      <c r="M24" s="34" t="n">
        <v>806</v>
      </c>
      <c r="N24" t="inlineStr">
        <is>
          <t>35%</t>
        </is>
      </c>
      <c r="O24" t="inlineStr">
        <is>
          <t>Basidiospores</t>
        </is>
      </c>
      <c r="P24" t="inlineStr">
        <is>
          <t>Moderate</t>
        </is>
      </c>
      <c r="Q24" t="n">
        <v>1</v>
      </c>
      <c r="R24" t="inlineStr">
        <is>
          <t>Outdoor baseline dominated by basidiospores</t>
        </is>
      </c>
      <c r="S24" t="inlineStr">
        <is>
          <t>Lab Results - 1701206.pdf</t>
        </is>
      </c>
      <c r="T24" t="inlineStr">
        <is>
          <t>Page 2</t>
        </is>
      </c>
    </row>
  </sheetData>
  <autoFilter ref="A4:T24"/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8" customWidth="1" min="12" max="12"/>
    <col width="28" customWidth="1" min="13" max="13"/>
    <col width="28" customWidth="1" min="14" max="14"/>
  </cols>
  <sheetData>
    <row r="1">
      <c r="A1" s="25" t="inlineStr">
        <is>
          <t>Home Health AI – IAQ Scoring Engine</t>
        </is>
      </c>
    </row>
    <row r="2">
      <c r="A2" s="32" t="inlineStr">
        <is>
          <t>Formula-driven scoring model combining spore load, ratio, markers, moisture, visibility, and occupant sensitivity.</t>
        </is>
      </c>
    </row>
    <row r="4">
      <c r="A4" s="36" t="inlineStr">
        <is>
          <t>scenario_id</t>
        </is>
      </c>
      <c r="B4" s="36" t="inlineStr">
        <is>
          <t>scenario_name</t>
        </is>
      </c>
      <c r="C4" s="36" t="inlineStr">
        <is>
          <t>spore_load_score</t>
        </is>
      </c>
      <c r="D4" s="36" t="inlineStr">
        <is>
          <t>indoor_outdoor_ratio</t>
        </is>
      </c>
      <c r="E4" s="36" t="inlineStr">
        <is>
          <t>ratio_score</t>
        </is>
      </c>
      <c r="F4" s="36" t="inlineStr">
        <is>
          <t>marker_score</t>
        </is>
      </c>
      <c r="G4" s="36" t="inlineStr">
        <is>
          <t>mycotoxin_score</t>
        </is>
      </c>
      <c r="H4" s="36" t="inlineStr">
        <is>
          <t>visible_growth_score</t>
        </is>
      </c>
      <c r="I4" s="36" t="inlineStr">
        <is>
          <t>porous_wet_score</t>
        </is>
      </c>
      <c r="J4" s="36" t="inlineStr">
        <is>
          <t>humidity_score</t>
        </is>
      </c>
      <c r="K4" s="36" t="inlineStr">
        <is>
          <t>sensitivity_score</t>
        </is>
      </c>
      <c r="L4" s="36" t="inlineStr">
        <is>
          <t>total_risk_score</t>
        </is>
      </c>
      <c r="M4" s="36" t="inlineStr">
        <is>
          <t>risk_band</t>
        </is>
      </c>
      <c r="N4" s="36" t="inlineStr">
        <is>
          <t>recommended_action</t>
        </is>
      </c>
    </row>
    <row r="5">
      <c r="A5">
        <f>'Control Center'!A5</f>
        <v/>
      </c>
      <c r="B5">
        <f>'Control Center'!B5</f>
        <v/>
      </c>
      <c r="C5">
        <f>IF('Control Center'!C5=0,10,IF('Control Center'!C5&lt;250,10,IF('Control Center'!C5&lt;750,20,IF('Control Center'!C5&lt;1500,30,40))))</f>
        <v/>
      </c>
      <c r="D5" s="37">
        <f>IFERROR('Control Center'!C5/'Control Center'!D5,"")</f>
        <v/>
      </c>
      <c r="E5">
        <f>IF(D5="",10,IF(D5&lt;0.5,10,IF(D5&lt;1,20,IF(D5&lt;2,30,40))))</f>
        <v/>
      </c>
      <c r="F5">
        <f>IF('Control Center'!F5="Yes",20,IF('Control Center'!F5="Unknown",10,0))</f>
        <v/>
      </c>
      <c r="G5">
        <f>IF('Control Center'!G5="Yes",15,IF('Control Center'!G5="Unknown",8,0))</f>
        <v/>
      </c>
      <c r="H5">
        <f>IF('Control Center'!H5="Yes",15,IF('Control Center'!H5="Unknown",8,0))</f>
        <v/>
      </c>
      <c r="I5">
        <f>IF('Control Center'!I5="Yes",15,IF('Control Center'!I5="Unknown",8,0))</f>
        <v/>
      </c>
      <c r="J5">
        <f>IF('Control Center'!J5&lt;50,0,IF('Control Center'!J5&lt;60,5,IF('Control Center'!J5&lt;70,10,15)))</f>
        <v/>
      </c>
      <c r="K5">
        <f>IF('Control Center'!K5="Sensitive",10,5)</f>
        <v/>
      </c>
      <c r="L5">
        <f>SUM(C5:K5)</f>
        <v/>
      </c>
      <c r="M5">
        <f>IF(L5&lt;25,"Low",IF(L5&lt;50,"Guarded",IF(L5&lt;75,"Elevated","High Concern")))</f>
        <v/>
      </c>
      <c r="N5">
        <f>IF(M5="Low","Educate / monitor",IF(M5="Guarded","Reduce moisture / recheck",IF(M5="Elevated","Professional inspection","Contain area + professional inspection")))</f>
        <v/>
      </c>
    </row>
    <row r="6">
      <c r="A6">
        <f>'Control Center'!A6</f>
        <v/>
      </c>
      <c r="B6">
        <f>'Control Center'!B6</f>
        <v/>
      </c>
      <c r="C6">
        <f>IF('Control Center'!C6=0,10,IF('Control Center'!C6&lt;250,10,IF('Control Center'!C6&lt;750,20,IF('Control Center'!C6&lt;1500,30,40))))</f>
        <v/>
      </c>
      <c r="D6" s="37">
        <f>IFERROR('Control Center'!C6/'Control Center'!D6,"")</f>
        <v/>
      </c>
      <c r="E6">
        <f>IF(D6="",10,IF(D6&lt;0.5,10,IF(D6&lt;1,20,IF(D6&lt;2,30,40))))</f>
        <v/>
      </c>
      <c r="F6">
        <f>IF('Control Center'!F6="Yes",20,IF('Control Center'!F6="Unknown",10,0))</f>
        <v/>
      </c>
      <c r="G6">
        <f>IF('Control Center'!G6="Yes",15,IF('Control Center'!G6="Unknown",8,0))</f>
        <v/>
      </c>
      <c r="H6">
        <f>IF('Control Center'!H6="Yes",15,IF('Control Center'!H6="Unknown",8,0))</f>
        <v/>
      </c>
      <c r="I6">
        <f>IF('Control Center'!I6="Yes",15,IF('Control Center'!I6="Unknown",8,0))</f>
        <v/>
      </c>
      <c r="J6">
        <f>IF('Control Center'!J6&lt;50,0,IF('Control Center'!J6&lt;60,5,IF('Control Center'!J6&lt;70,10,15)))</f>
        <v/>
      </c>
      <c r="K6">
        <f>IF('Control Center'!K6="Sensitive",10,5)</f>
        <v/>
      </c>
      <c r="L6">
        <f>SUM(C6:K6)</f>
        <v/>
      </c>
      <c r="M6">
        <f>IF(L6&lt;25,"Low",IF(L6&lt;50,"Guarded",IF(L6&lt;75,"Elevated","High Concern")))</f>
        <v/>
      </c>
      <c r="N6">
        <f>IF(M6="Low","Educate / monitor",IF(M6="Guarded","Reduce moisture / recheck",IF(M6="Elevated","Professional inspection","Contain area + professional inspection")))</f>
        <v/>
      </c>
    </row>
    <row r="7">
      <c r="A7">
        <f>'Control Center'!A7</f>
        <v/>
      </c>
      <c r="B7">
        <f>'Control Center'!B7</f>
        <v/>
      </c>
      <c r="C7">
        <f>IF('Control Center'!C7=0,10,IF('Control Center'!C7&lt;250,10,IF('Control Center'!C7&lt;750,20,IF('Control Center'!C7&lt;1500,30,40))))</f>
        <v/>
      </c>
      <c r="D7" s="37">
        <f>IFERROR('Control Center'!C7/'Control Center'!D7,"")</f>
        <v/>
      </c>
      <c r="E7">
        <f>IF(D7="",10,IF(D7&lt;0.5,10,IF(D7&lt;1,20,IF(D7&lt;2,30,40))))</f>
        <v/>
      </c>
      <c r="F7">
        <f>IF('Control Center'!F7="Yes",20,IF('Control Center'!F7="Unknown",10,0))</f>
        <v/>
      </c>
      <c r="G7">
        <f>IF('Control Center'!G7="Yes",15,IF('Control Center'!G7="Unknown",8,0))</f>
        <v/>
      </c>
      <c r="H7">
        <f>IF('Control Center'!H7="Yes",15,IF('Control Center'!H7="Unknown",8,0))</f>
        <v/>
      </c>
      <c r="I7">
        <f>IF('Control Center'!I7="Yes",15,IF('Control Center'!I7="Unknown",8,0))</f>
        <v/>
      </c>
      <c r="J7">
        <f>IF('Control Center'!J7&lt;50,0,IF('Control Center'!J7&lt;60,5,IF('Control Center'!J7&lt;70,10,15)))</f>
        <v/>
      </c>
      <c r="K7">
        <f>IF('Control Center'!K7="Sensitive",10,5)</f>
        <v/>
      </c>
      <c r="L7">
        <f>SUM(C7:K7)</f>
        <v/>
      </c>
      <c r="M7">
        <f>IF(L7&lt;25,"Low",IF(L7&lt;50,"Guarded",IF(L7&lt;75,"Elevated","High Concern")))</f>
        <v/>
      </c>
      <c r="N7">
        <f>IF(M7="Low","Educate / monitor",IF(M7="Guarded","Reduce moisture / recheck",IF(M7="Elevated","Professional inspection","Contain area + professional inspection")))</f>
        <v/>
      </c>
    </row>
    <row r="8">
      <c r="A8">
        <f>'Control Center'!A8</f>
        <v/>
      </c>
      <c r="B8">
        <f>'Control Center'!B8</f>
        <v/>
      </c>
      <c r="C8">
        <f>IF('Control Center'!C8=0,10,IF('Control Center'!C8&lt;250,10,IF('Control Center'!C8&lt;750,20,IF('Control Center'!C8&lt;1500,30,40))))</f>
        <v/>
      </c>
      <c r="D8" s="37">
        <f>IFERROR('Control Center'!C8/'Control Center'!D8,"")</f>
        <v/>
      </c>
      <c r="E8">
        <f>IF(D8="",10,IF(D8&lt;0.5,10,IF(D8&lt;1,20,IF(D8&lt;2,30,40))))</f>
        <v/>
      </c>
      <c r="F8">
        <f>IF('Control Center'!F8="Yes",20,IF('Control Center'!F8="Unknown",10,0))</f>
        <v/>
      </c>
      <c r="G8">
        <f>IF('Control Center'!G8="Yes",15,IF('Control Center'!G8="Unknown",8,0))</f>
        <v/>
      </c>
      <c r="H8">
        <f>IF('Control Center'!H8="Yes",15,IF('Control Center'!H8="Unknown",8,0))</f>
        <v/>
      </c>
      <c r="I8">
        <f>IF('Control Center'!I8="Yes",15,IF('Control Center'!I8="Unknown",8,0))</f>
        <v/>
      </c>
      <c r="J8">
        <f>IF('Control Center'!J8&lt;50,0,IF('Control Center'!J8&lt;60,5,IF('Control Center'!J8&lt;70,10,15)))</f>
        <v/>
      </c>
      <c r="K8">
        <f>IF('Control Center'!K8="Sensitive",10,5)</f>
        <v/>
      </c>
      <c r="L8">
        <f>SUM(C8:K8)</f>
        <v/>
      </c>
      <c r="M8">
        <f>IF(L8&lt;25,"Low",IF(L8&lt;50,"Guarded",IF(L8&lt;75,"Elevated","High Concern")))</f>
        <v/>
      </c>
      <c r="N8">
        <f>IF(M8="Low","Educate / monitor",IF(M8="Guarded","Reduce moisture / recheck",IF(M8="Elevated","Professional inspection","Contain area + professional inspection")))</f>
        <v/>
      </c>
    </row>
    <row r="9">
      <c r="A9">
        <f>'Control Center'!A9</f>
        <v/>
      </c>
      <c r="B9">
        <f>'Control Center'!B9</f>
        <v/>
      </c>
      <c r="C9">
        <f>IF('Control Center'!C9=0,10,IF('Control Center'!C9&lt;250,10,IF('Control Center'!C9&lt;750,20,IF('Control Center'!C9&lt;1500,30,40))))</f>
        <v/>
      </c>
      <c r="D9" s="37">
        <f>IFERROR('Control Center'!C9/'Control Center'!D9,"")</f>
        <v/>
      </c>
      <c r="E9">
        <f>IF(D9="",10,IF(D9&lt;0.5,10,IF(D9&lt;1,20,IF(D9&lt;2,30,40))))</f>
        <v/>
      </c>
      <c r="F9">
        <f>IF('Control Center'!F9="Yes",20,IF('Control Center'!F9="Unknown",10,0))</f>
        <v/>
      </c>
      <c r="G9">
        <f>IF('Control Center'!G9="Yes",15,IF('Control Center'!G9="Unknown",8,0))</f>
        <v/>
      </c>
      <c r="H9">
        <f>IF('Control Center'!H9="Yes",15,IF('Control Center'!H9="Unknown",8,0))</f>
        <v/>
      </c>
      <c r="I9">
        <f>IF('Control Center'!I9="Yes",15,IF('Control Center'!I9="Unknown",8,0))</f>
        <v/>
      </c>
      <c r="J9">
        <f>IF('Control Center'!J9&lt;50,0,IF('Control Center'!J9&lt;60,5,IF('Control Center'!J9&lt;70,10,15)))</f>
        <v/>
      </c>
      <c r="K9">
        <f>IF('Control Center'!K9="Sensitive",10,5)</f>
        <v/>
      </c>
      <c r="L9">
        <f>SUM(C9:K9)</f>
        <v/>
      </c>
      <c r="M9">
        <f>IF(L9&lt;25,"Low",IF(L9&lt;50,"Guarded",IF(L9&lt;75,"Elevated","High Concern")))</f>
        <v/>
      </c>
      <c r="N9">
        <f>IF(M9="Low","Educate / monitor",IF(M9="Guarded","Reduce moisture / recheck",IF(M9="Elevated","Professional inspection","Contain area + professional inspection")))</f>
        <v/>
      </c>
    </row>
  </sheetData>
  <autoFilter ref="A4:N9"/>
  <mergeCells count="2">
    <mergeCell ref="A2:N2"/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7" customWidth="1" min="7" max="7"/>
    <col width="16" customWidth="1" min="8" max="8"/>
    <col width="21" customWidth="1" min="9" max="9"/>
    <col width="12" customWidth="1" min="10" max="10"/>
    <col width="20" customWidth="1" min="11" max="11"/>
    <col width="18" customWidth="1" min="12" max="12"/>
    <col width="15" customWidth="1" min="13" max="13"/>
    <col width="26" customWidth="1" min="14" max="14"/>
    <col width="22" customWidth="1" min="15" max="15"/>
    <col width="22" customWidth="1" min="16" max="16"/>
    <col width="26" customWidth="1" min="17" max="17"/>
    <col width="21" customWidth="1" min="18" max="18"/>
    <col width="24" customWidth="1" min="19" max="19"/>
    <col width="26" customWidth="1" min="20" max="20"/>
  </cols>
  <sheetData>
    <row r="1">
      <c r="A1" s="25" t="inlineStr">
        <is>
          <t>Home Health AI – Field Input Template</t>
        </is>
      </c>
    </row>
    <row r="2">
      <c r="A2" s="32" t="inlineStr">
        <is>
          <t>Suggested structured inputs for app upload, inspector workflow, or API payload generation.</t>
        </is>
      </c>
    </row>
    <row r="4">
      <c r="A4" s="38" t="inlineStr">
        <is>
          <t>case_id</t>
        </is>
      </c>
      <c r="B4" s="38" t="inlineStr">
        <is>
          <t>photo_id</t>
        </is>
      </c>
      <c r="C4" s="38" t="inlineStr">
        <is>
          <t>room</t>
        </is>
      </c>
      <c r="D4" s="38" t="inlineStr">
        <is>
          <t>surface_material</t>
        </is>
      </c>
      <c r="E4" s="38" t="inlineStr">
        <is>
          <t>surface_porosity</t>
        </is>
      </c>
      <c r="F4" s="38" t="inlineStr">
        <is>
          <t>visible_color</t>
        </is>
      </c>
      <c r="G4" s="38" t="inlineStr">
        <is>
          <t>visible_texture</t>
        </is>
      </c>
      <c r="H4" s="38" t="inlineStr">
        <is>
          <t>growth_pattern</t>
        </is>
      </c>
      <c r="I4" s="38" t="inlineStr">
        <is>
          <t>estimated_area_sqft</t>
        </is>
      </c>
      <c r="J4" s="38" t="inlineStr">
        <is>
          <t>musty_odor</t>
        </is>
      </c>
      <c r="K4" s="38" t="inlineStr">
        <is>
          <t>recent_water_event</t>
        </is>
      </c>
      <c r="L4" s="38" t="inlineStr">
        <is>
          <t>humidity_percent</t>
        </is>
      </c>
      <c r="M4" s="38" t="inlineStr">
        <is>
          <t>temperature_f</t>
        </is>
      </c>
      <c r="N4" s="38" t="inlineStr">
        <is>
          <t>occupant_symptoms_reported</t>
        </is>
      </c>
      <c r="O4" s="38" t="inlineStr">
        <is>
          <t>air_sample_available</t>
        </is>
      </c>
      <c r="P4" s="38" t="inlineStr">
        <is>
          <t>lab_sample_available</t>
        </is>
      </c>
      <c r="Q4" s="38" t="inlineStr">
        <is>
          <t>ai_initial_label</t>
        </is>
      </c>
      <c r="R4" s="38" t="inlineStr">
        <is>
          <t>human_review_needed</t>
        </is>
      </c>
      <c r="S4" s="38" t="inlineStr">
        <is>
          <t>final_disposition</t>
        </is>
      </c>
      <c r="T4" s="38" t="inlineStr">
        <is>
          <t>notes</t>
        </is>
      </c>
    </row>
    <row r="5">
      <c r="A5" t="inlineStr">
        <is>
          <t>CASE-001</t>
        </is>
      </c>
      <c r="B5" t="inlineStr">
        <is>
          <t>IMG-001</t>
        </is>
      </c>
      <c r="C5" t="inlineStr">
        <is>
          <t>Bathroom</t>
        </is>
      </c>
      <c r="D5" t="inlineStr">
        <is>
          <t>Drywall</t>
        </is>
      </c>
      <c r="E5" t="inlineStr">
        <is>
          <t>Porous</t>
        </is>
      </c>
      <c r="F5" t="inlineStr">
        <is>
          <t>Dark green/black</t>
        </is>
      </c>
      <c r="G5" t="inlineStr">
        <is>
          <t>Slimy</t>
        </is>
      </c>
      <c r="H5" t="inlineStr">
        <is>
          <t>Patchy</t>
        </is>
      </c>
      <c r="I5" t="n">
        <v>6</v>
      </c>
      <c r="J5" t="inlineStr">
        <is>
          <t>Yes</t>
        </is>
      </c>
      <c r="K5" t="inlineStr">
        <is>
          <t>Yes</t>
        </is>
      </c>
      <c r="L5" t="n">
        <v>69</v>
      </c>
      <c r="M5" t="n">
        <v>68</v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Possible Stachybotrys-like</t>
        </is>
      </c>
      <c r="R5" t="inlineStr">
        <is>
          <t>Yes</t>
        </is>
      </c>
      <c r="S5" t="inlineStr">
        <is>
          <t>Escalate to inspection</t>
        </is>
      </c>
      <c r="T5" t="inlineStr">
        <is>
          <t>Visible growth near shower wall</t>
        </is>
      </c>
    </row>
    <row r="6">
      <c r="A6" t="inlineStr">
        <is>
          <t>CASE-002</t>
        </is>
      </c>
      <c r="B6" t="inlineStr">
        <is>
          <t>IMG-002</t>
        </is>
      </c>
      <c r="C6" t="inlineStr">
        <is>
          <t>Bedroom</t>
        </is>
      </c>
      <c r="D6" t="inlineStr">
        <is>
          <t>Window sill</t>
        </is>
      </c>
      <c r="E6" t="inlineStr">
        <is>
          <t>Non-porous</t>
        </is>
      </c>
      <c r="F6" t="inlineStr">
        <is>
          <t>Olive green</t>
        </is>
      </c>
      <c r="G6" t="inlineStr">
        <is>
          <t>Velvety</t>
        </is>
      </c>
      <c r="H6" t="inlineStr">
        <is>
          <t>Linear</t>
        </is>
      </c>
      <c r="I6" t="n">
        <v>1</v>
      </c>
      <c r="J6" t="inlineStr">
        <is>
          <t>No</t>
        </is>
      </c>
      <c r="K6" t="inlineStr">
        <is>
          <t>No</t>
        </is>
      </c>
      <c r="L6" t="n">
        <v>52</v>
      </c>
      <c r="M6" t="n">
        <v>70</v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Cladosporium-like</t>
        </is>
      </c>
      <c r="R6" t="inlineStr">
        <is>
          <t>Maybe</t>
        </is>
      </c>
      <c r="S6" t="inlineStr">
        <is>
          <t>Clean + monitor</t>
        </is>
      </c>
      <c r="T6" t="inlineStr">
        <is>
          <t>Likely condensation-associated</t>
        </is>
      </c>
    </row>
  </sheetData>
  <autoFilter ref="A4:T6"/>
  <mergeCells count="2">
    <mergeCell ref="A2:N2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9" customWidth="1" min="3" max="3"/>
    <col width="11" customWidth="1" min="4" max="4"/>
    <col width="10" customWidth="1" min="5" max="5"/>
    <col width="28" customWidth="1" min="6" max="6"/>
    <col width="28" customWidth="1" min="7" max="7"/>
    <col width="21" customWidth="1" min="8" max="8"/>
    <col width="28" customWidth="1" min="9" max="9"/>
    <col width="15" customWidth="1" min="10" max="10"/>
  </cols>
  <sheetData>
    <row r="1">
      <c r="A1" s="25" t="inlineStr">
        <is>
          <t>Home Health AI – API Mapping</t>
        </is>
      </c>
    </row>
    <row r="2">
      <c r="A2" s="32" t="inlineStr">
        <is>
          <t>Simple field mapping for developer handoff from workbook logic to app/backend schema.</t>
        </is>
      </c>
    </row>
    <row r="4">
      <c r="A4" s="39" t="inlineStr">
        <is>
          <t>workbook_sheet</t>
        </is>
      </c>
      <c r="B4" s="39" t="inlineStr">
        <is>
          <t>workbook_field</t>
        </is>
      </c>
      <c r="C4" s="39" t="inlineStr">
        <is>
          <t>api_field_name</t>
        </is>
      </c>
      <c r="D4" s="39" t="inlineStr">
        <is>
          <t>data_type</t>
        </is>
      </c>
      <c r="E4" s="39" t="inlineStr">
        <is>
          <t>required</t>
        </is>
      </c>
      <c r="F4" s="39" t="inlineStr">
        <is>
          <t>description</t>
        </is>
      </c>
      <c r="G4" s="39" t="inlineStr">
        <is>
          <t>example_value</t>
        </is>
      </c>
      <c r="H4" s="39" t="inlineStr">
        <is>
          <t>source_logic</t>
        </is>
      </c>
      <c r="I4" s="39" t="inlineStr">
        <is>
          <t>notes</t>
        </is>
      </c>
      <c r="J4" s="39" t="inlineStr">
        <is>
          <t>owner</t>
        </is>
      </c>
    </row>
    <row r="5">
      <c r="A5" t="inlineStr">
        <is>
          <t>Field Input Template</t>
        </is>
      </c>
      <c r="B5" t="inlineStr">
        <is>
          <t>case_id</t>
        </is>
      </c>
      <c r="C5" t="inlineStr">
        <is>
          <t>caseId</t>
        </is>
      </c>
      <c r="D5" t="inlineStr">
        <is>
          <t>string</t>
        </is>
      </c>
      <c r="E5" t="inlineStr">
        <is>
          <t>Yes</t>
        </is>
      </c>
      <c r="F5" t="inlineStr">
        <is>
          <t>Unique case identifier</t>
        </is>
      </c>
      <c r="G5" t="inlineStr">
        <is>
          <t>CASE-001</t>
        </is>
      </c>
      <c r="H5" t="inlineStr">
        <is>
          <t>App-generated</t>
        </is>
      </c>
      <c r="I5" t="inlineStr">
        <is>
          <t>Primary key</t>
        </is>
      </c>
      <c r="J5" t="inlineStr">
        <is>
          <t>App</t>
        </is>
      </c>
    </row>
    <row r="6">
      <c r="A6" t="inlineStr">
        <is>
          <t>Field Input Template</t>
        </is>
      </c>
      <c r="B6" t="inlineStr">
        <is>
          <t>photo_id</t>
        </is>
      </c>
      <c r="C6" t="inlineStr">
        <is>
          <t>photoId</t>
        </is>
      </c>
      <c r="D6" t="inlineStr">
        <is>
          <t>string</t>
        </is>
      </c>
      <c r="E6" t="inlineStr">
        <is>
          <t>Yes</t>
        </is>
      </c>
      <c r="F6" t="inlineStr">
        <is>
          <t>Image upload identifier</t>
        </is>
      </c>
      <c r="G6" t="inlineStr">
        <is>
          <t>IMG-001</t>
        </is>
      </c>
      <c r="H6" t="inlineStr">
        <is>
          <t>Upload service</t>
        </is>
      </c>
      <c r="I6" t="inlineStr">
        <is>
          <t>Link to CV pipeline</t>
        </is>
      </c>
      <c r="J6" t="inlineStr">
        <is>
          <t>App</t>
        </is>
      </c>
    </row>
    <row r="7">
      <c r="A7" t="inlineStr">
        <is>
          <t>Field Input Template</t>
        </is>
      </c>
      <c r="B7" t="inlineStr">
        <is>
          <t>humidity_percent</t>
        </is>
      </c>
      <c r="C7" t="inlineStr">
        <is>
          <t>humidityPct</t>
        </is>
      </c>
      <c r="D7" t="inlineStr">
        <is>
          <t>number</t>
        </is>
      </c>
      <c r="E7" t="inlineStr">
        <is>
          <t>No</t>
        </is>
      </c>
      <c r="F7" t="inlineStr">
        <is>
          <t>Ambient humidity during inspection</t>
        </is>
      </c>
      <c r="G7" t="n">
        <v>69</v>
      </c>
      <c r="H7" t="inlineStr">
        <is>
          <t>Sensor/manual entry</t>
        </is>
      </c>
      <c r="I7" t="inlineStr">
        <is>
          <t>Use in moisture scoring</t>
        </is>
      </c>
      <c r="J7" t="inlineStr">
        <is>
          <t>App/Inspector</t>
        </is>
      </c>
    </row>
    <row r="8">
      <c r="A8" t="inlineStr">
        <is>
          <t>Mold Species Database</t>
        </is>
      </c>
      <c r="B8" t="inlineStr">
        <is>
          <t>species_name</t>
        </is>
      </c>
      <c r="C8" t="inlineStr">
        <is>
          <t>speciesName</t>
        </is>
      </c>
      <c r="D8" t="inlineStr">
        <is>
          <t>string</t>
        </is>
      </c>
      <c r="E8" t="inlineStr">
        <is>
          <t>Yes</t>
        </is>
      </c>
      <c r="F8" t="inlineStr">
        <is>
          <t>Canonical species or grouped label</t>
        </is>
      </c>
      <c r="G8" t="inlineStr">
        <is>
          <t>Stachybotrys chartarum</t>
        </is>
      </c>
      <c r="H8" t="inlineStr">
        <is>
          <t>Reference table</t>
        </is>
      </c>
      <c r="I8" t="inlineStr">
        <is>
          <t>Taxonomy source</t>
        </is>
      </c>
      <c r="J8" t="inlineStr">
        <is>
          <t>Data</t>
        </is>
      </c>
    </row>
    <row r="9">
      <c r="A9" t="inlineStr">
        <is>
          <t>Mold Species Database</t>
        </is>
      </c>
      <c r="B9" t="inlineStr">
        <is>
          <t>ai_visual_group</t>
        </is>
      </c>
      <c r="C9" t="inlineStr">
        <is>
          <t>visualGroup</t>
        </is>
      </c>
      <c r="D9" t="inlineStr">
        <is>
          <t>string</t>
        </is>
      </c>
      <c r="E9" t="inlineStr">
        <is>
          <t>Yes</t>
        </is>
      </c>
      <c r="F9" t="inlineStr">
        <is>
          <t>Computer-vision-safe grouping</t>
        </is>
      </c>
      <c r="G9" t="inlineStr">
        <is>
          <t>Aspergillus/Penicillium</t>
        </is>
      </c>
      <c r="H9" t="inlineStr">
        <is>
          <t>Reference table</t>
        </is>
      </c>
      <c r="I9" t="inlineStr">
        <is>
          <t>Prevents false precision</t>
        </is>
      </c>
      <c r="J9" t="inlineStr">
        <is>
          <t>Data</t>
        </is>
      </c>
    </row>
    <row r="10">
      <c r="A10" t="inlineStr">
        <is>
          <t>IAQ Scoring Engine</t>
        </is>
      </c>
      <c r="B10" t="inlineStr">
        <is>
          <t>total_risk_score</t>
        </is>
      </c>
      <c r="C10" t="inlineStr">
        <is>
          <t>riskScore</t>
        </is>
      </c>
      <c r="D10" t="inlineStr">
        <is>
          <t>number</t>
        </is>
      </c>
      <c r="E10" t="inlineStr">
        <is>
          <t>Yes</t>
        </is>
      </c>
      <c r="F10" t="inlineStr">
        <is>
          <t>Composite model score</t>
        </is>
      </c>
      <c r="G10" t="n">
        <v>82</v>
      </c>
      <c r="H10" t="inlineStr">
        <is>
          <t>Formula</t>
        </is>
      </c>
      <c r="I10" t="inlineStr">
        <is>
          <t>0-100+</t>
        </is>
      </c>
      <c r="J10" t="inlineStr">
        <is>
          <t>Logic</t>
        </is>
      </c>
    </row>
    <row r="11">
      <c r="A11" t="inlineStr">
        <is>
          <t>IAQ Scoring Engine</t>
        </is>
      </c>
      <c r="B11" t="inlineStr">
        <is>
          <t>risk_band</t>
        </is>
      </c>
      <c r="C11" t="inlineStr">
        <is>
          <t>riskBand</t>
        </is>
      </c>
      <c r="D11" t="inlineStr">
        <is>
          <t>string</t>
        </is>
      </c>
      <c r="E11" t="inlineStr">
        <is>
          <t>Yes</t>
        </is>
      </c>
      <c r="F11" t="inlineStr">
        <is>
          <t>Human-readable risk bucket</t>
        </is>
      </c>
      <c r="G11" t="inlineStr">
        <is>
          <t>High Concern</t>
        </is>
      </c>
      <c r="H11" t="inlineStr">
        <is>
          <t>Formula</t>
        </is>
      </c>
      <c r="I11" t="inlineStr">
        <is>
          <t>Shown to user and inspector</t>
        </is>
      </c>
      <c r="J11" t="inlineStr">
        <is>
          <t>Logic</t>
        </is>
      </c>
    </row>
    <row r="12">
      <c r="A12" t="inlineStr">
        <is>
          <t>IAQ Scoring Engine</t>
        </is>
      </c>
      <c r="B12" t="inlineStr">
        <is>
          <t>recommended_action</t>
        </is>
      </c>
      <c r="C12" t="inlineStr">
        <is>
          <t>recommendedAction</t>
        </is>
      </c>
      <c r="D12" t="inlineStr">
        <is>
          <t>string</t>
        </is>
      </c>
      <c r="E12" t="inlineStr">
        <is>
          <t>Yes</t>
        </is>
      </c>
      <c r="F12" t="inlineStr">
        <is>
          <t>Next-step recommendation</t>
        </is>
      </c>
      <c r="G12" t="inlineStr">
        <is>
          <t>Contain area + professional inspection</t>
        </is>
      </c>
      <c r="H12" t="inlineStr">
        <is>
          <t>Formula</t>
        </is>
      </c>
      <c r="I12" t="inlineStr">
        <is>
          <t>Non-medical guidance</t>
        </is>
      </c>
      <c r="J12" t="inlineStr">
        <is>
          <t>Logic</t>
        </is>
      </c>
    </row>
    <row r="13">
      <c r="A13" t="inlineStr">
        <is>
          <t>Real Lab Data Training</t>
        </is>
      </c>
      <c r="B13" t="inlineStr">
        <is>
          <t>spores_per_m3</t>
        </is>
      </c>
      <c r="C13" t="inlineStr">
        <is>
          <t>sporesPerM3</t>
        </is>
      </c>
      <c r="D13" t="inlineStr">
        <is>
          <t>number</t>
        </is>
      </c>
      <c r="E13" t="inlineStr">
        <is>
          <t>No</t>
        </is>
      </c>
      <c r="F13" t="inlineStr">
        <is>
          <t>Normalized lab result count</t>
        </is>
      </c>
      <c r="G13" t="n">
        <v>247</v>
      </c>
      <c r="H13" t="inlineStr">
        <is>
          <t>Uploaded reports</t>
        </is>
      </c>
      <c r="I13" t="inlineStr">
        <is>
          <t>Training/QA data</t>
        </is>
      </c>
      <c r="J13" t="inlineStr">
        <is>
          <t>Data</t>
        </is>
      </c>
    </row>
    <row r="14">
      <c r="A14" t="inlineStr">
        <is>
          <t>Lab Interpretation Rules</t>
        </is>
      </c>
      <c r="B14" t="inlineStr">
        <is>
          <t>lab rule / interpretation</t>
        </is>
      </c>
      <c r="C14" t="inlineStr">
        <is>
          <t>labRuleText</t>
        </is>
      </c>
      <c r="D14" t="inlineStr">
        <is>
          <t>string</t>
        </is>
      </c>
      <c r="E14" t="inlineStr">
        <is>
          <t>No</t>
        </is>
      </c>
      <c r="F14" t="inlineStr">
        <is>
          <t>Safety and interpretation guidance</t>
        </is>
      </c>
      <c r="G14" t="inlineStr">
        <is>
          <t>Indoor air is compared to exterior baseline</t>
        </is>
      </c>
      <c r="H14" t="inlineStr">
        <is>
          <t>Uploaded reports</t>
        </is>
      </c>
      <c r="I14" t="inlineStr">
        <is>
          <t>Prompt conditioning</t>
        </is>
      </c>
      <c r="J14" t="inlineStr">
        <is>
          <t>Policy/Logic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2026-03-13T15:11:52Z</dcterms:created>
  <dcterms:modified xmlns:dcterms="http://purl.org/dc/terms/" xmlns:xsi="http://www.w3.org/2001/XMLSchema-instance" xsi:type="dcterms:W3CDTF">2026-03-13T15:22:28Z</dcterms:modified>
</cp:coreProperties>
</file>